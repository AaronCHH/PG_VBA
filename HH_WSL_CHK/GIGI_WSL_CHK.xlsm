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H_WORK\6200_TEMES\_ANA\"/>
    </mc:Choice>
  </mc:AlternateContent>
  <xr:revisionPtr revIDLastSave="0" documentId="13_ncr:1_{33F988C8-E862-474D-88C7-52CF40D46318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Q45" sheetId="1" r:id="rId1"/>
    <sheet name="Q22_5" sheetId="4" r:id="rId2"/>
    <sheet name="Batch_013" sheetId="5" r:id="rId3"/>
    <sheet name="Batch_014" sheetId="6" r:id="rId4"/>
    <sheet name="2CHL" sheetId="7" r:id="rId5"/>
    <sheet name="1CHL" sheetId="8" r:id="rId6"/>
    <sheet name="Sheet2" sheetId="2" r:id="rId7"/>
    <sheet name="Sheet3" sheetId="3" r:id="rId8"/>
  </sheets>
  <definedNames>
    <definedName name="A" localSheetId="5">'1CHL'!$B$7</definedName>
    <definedName name="A" localSheetId="4">'2CHL'!$B$7</definedName>
    <definedName name="A" localSheetId="2">Batch_013!$B$7</definedName>
    <definedName name="A" localSheetId="3">Batch_014!$B$7</definedName>
    <definedName name="A" localSheetId="1">Q22_5!$B$8</definedName>
    <definedName name="A">'Q45'!$B$8</definedName>
    <definedName name="c_" localSheetId="5">'1CHL'!$B$5</definedName>
    <definedName name="c_" localSheetId="4">'2CHL'!$B$5</definedName>
    <definedName name="c_" localSheetId="2">Batch_013!$B$5</definedName>
    <definedName name="c_" localSheetId="3">Batch_014!$B$5</definedName>
    <definedName name="c_" localSheetId="1">Q22_5!$B$6</definedName>
    <definedName name="c_">'Q45'!$B$6</definedName>
    <definedName name="n" localSheetId="5">'1CHL'!$B$3</definedName>
    <definedName name="n" localSheetId="4">'2CHL'!$B$3</definedName>
    <definedName name="n" localSheetId="2">Batch_013!$B$3</definedName>
    <definedName name="n" localSheetId="3">Batch_014!$B$3</definedName>
    <definedName name="n" localSheetId="1">Q22_5!$B$4</definedName>
    <definedName name="n">'Q45'!$B$4</definedName>
    <definedName name="P" localSheetId="5">'1CHL'!$B$8</definedName>
    <definedName name="P" localSheetId="4">'2CHL'!$B$8</definedName>
    <definedName name="P" localSheetId="2">Batch_013!$B$8</definedName>
    <definedName name="P" localSheetId="3">Batch_014!$B$8</definedName>
    <definedName name="P" localSheetId="1">Q22_5!$B$9</definedName>
    <definedName name="P">'Q45'!$B$9</definedName>
    <definedName name="Q" localSheetId="5">'1CHL'!$B$11</definedName>
    <definedName name="Q" localSheetId="4">'2CHL'!$B$11</definedName>
    <definedName name="Q" localSheetId="2">Batch_013!$B$11</definedName>
    <definedName name="Q" localSheetId="3">Batch_014!$B$11</definedName>
    <definedName name="Q" localSheetId="1">Q22_5!$B$1</definedName>
    <definedName name="Q">'Q45'!$B$1</definedName>
    <definedName name="R_" localSheetId="5">'1CHL'!$B$9</definedName>
    <definedName name="R_" localSheetId="4">'2CHL'!$B$9</definedName>
    <definedName name="R_" localSheetId="2">Batch_013!$B$9</definedName>
    <definedName name="R_" localSheetId="3">Batch_014!$B$9</definedName>
    <definedName name="R_" localSheetId="1">Q22_5!$B$10</definedName>
    <definedName name="R_">'Q45'!$B$10</definedName>
    <definedName name="Sf" localSheetId="5">'1CHL'!$B$4</definedName>
    <definedName name="Sf" localSheetId="4">'2CHL'!$B$4</definedName>
    <definedName name="Sf" localSheetId="2">Batch_013!$B$4</definedName>
    <definedName name="Sf" localSheetId="3">Batch_014!$B$4</definedName>
    <definedName name="Sf" localSheetId="1">Q22_5!$B$5</definedName>
    <definedName name="Sf">'Q45'!$B$5</definedName>
    <definedName name="V" localSheetId="5">'1CHL'!$B$10</definedName>
    <definedName name="V" localSheetId="4">'2CHL'!$B$10</definedName>
    <definedName name="V" localSheetId="2">Batch_013!$B$10</definedName>
    <definedName name="V" localSheetId="3">Batch_014!$B$10</definedName>
    <definedName name="V" localSheetId="1">Q22_5!$B$11</definedName>
    <definedName name="V">'Q45'!$B$11</definedName>
    <definedName name="W" localSheetId="5">'1CHL'!$B$2</definedName>
    <definedName name="W" localSheetId="4">'2CHL'!$B$2</definedName>
    <definedName name="W" localSheetId="2">Batch_013!$B$2</definedName>
    <definedName name="W" localSheetId="3">Batch_014!$B$2</definedName>
    <definedName name="W" localSheetId="1">Q22_5!$B$3</definedName>
    <definedName name="W">'Q45'!$B$3</definedName>
    <definedName name="y" localSheetId="5">'1CHL'!$B$1</definedName>
    <definedName name="y" localSheetId="4">'2CHL'!$B$1</definedName>
    <definedName name="y" localSheetId="2">Batch_013!$B$1</definedName>
    <definedName name="y" localSheetId="3">Batch_014!$B$1</definedName>
    <definedName name="y" localSheetId="1">Q22_5!$B$2</definedName>
    <definedName name="y">'Q45'!$B$2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2" l="1"/>
  <c r="C4" i="2"/>
  <c r="C3" i="2"/>
  <c r="A3" i="2"/>
  <c r="A2" i="2"/>
  <c r="H16" i="8"/>
  <c r="H17" i="8"/>
  <c r="H18" i="8"/>
  <c r="H19" i="8"/>
  <c r="H20" i="8"/>
  <c r="H21" i="8"/>
  <c r="H22" i="8"/>
  <c r="H15" i="8"/>
  <c r="G14" i="7" l="1"/>
  <c r="G15" i="7"/>
  <c r="G16" i="7"/>
  <c r="G13" i="7"/>
  <c r="G8" i="8" l="1"/>
  <c r="H8" i="8"/>
  <c r="G9" i="8"/>
  <c r="H9" i="8" s="1"/>
  <c r="B8" i="8"/>
  <c r="G7" i="8"/>
  <c r="H7" i="8" s="1"/>
  <c r="B7" i="8"/>
  <c r="G6" i="8"/>
  <c r="H6" i="8" s="1"/>
  <c r="G5" i="8"/>
  <c r="H5" i="8" s="1"/>
  <c r="H4" i="8"/>
  <c r="G4" i="8"/>
  <c r="B4" i="8"/>
  <c r="G3" i="8"/>
  <c r="H3" i="8" s="1"/>
  <c r="G2" i="8"/>
  <c r="H2" i="8" s="1"/>
  <c r="B7" i="7"/>
  <c r="H3" i="7"/>
  <c r="H4" i="7"/>
  <c r="H5" i="7"/>
  <c r="H6" i="7"/>
  <c r="H7" i="7"/>
  <c r="H2" i="7"/>
  <c r="G3" i="7"/>
  <c r="G4" i="7"/>
  <c r="G5" i="7"/>
  <c r="G6" i="7"/>
  <c r="G7" i="7"/>
  <c r="G2" i="7"/>
  <c r="B8" i="7"/>
  <c r="B4" i="7"/>
  <c r="B9" i="8" l="1"/>
  <c r="B10" i="8" s="1"/>
  <c r="B11" i="8" s="1"/>
  <c r="B9" i="7"/>
  <c r="B10" i="7" s="1"/>
  <c r="B11" i="7" s="1"/>
  <c r="B8" i="6"/>
  <c r="B7" i="6"/>
  <c r="B4" i="6"/>
  <c r="B9" i="6" l="1"/>
  <c r="B10" i="6" s="1"/>
  <c r="B11" i="6" s="1"/>
  <c r="B8" i="5"/>
  <c r="B7" i="5"/>
  <c r="B4" i="5"/>
  <c r="B9" i="5" l="1"/>
  <c r="B10" i="5" s="1"/>
  <c r="B11" i="5" s="1"/>
  <c r="B9" i="4"/>
  <c r="B8" i="4"/>
  <c r="B5" i="4"/>
  <c r="B9" i="1"/>
  <c r="B8" i="1"/>
  <c r="B5" i="1"/>
  <c r="B10" i="4" l="1"/>
  <c r="B11" i="4" s="1"/>
  <c r="B12" i="4" s="1"/>
  <c r="B10" i="1"/>
  <c r="B11" i="1" s="1"/>
  <c r="B12" i="1" s="1"/>
</calcChain>
</file>

<file path=xl/sharedStrings.xml><?xml version="1.0" encoding="utf-8"?>
<sst xmlns="http://schemas.openxmlformats.org/spreadsheetml/2006/main" count="81" uniqueCount="16">
  <si>
    <t>y</t>
    <phoneticPr fontId="4" type="noConversion"/>
  </si>
  <si>
    <t>n</t>
    <phoneticPr fontId="4" type="noConversion"/>
  </si>
  <si>
    <t>Sf</t>
    <phoneticPr fontId="4" type="noConversion"/>
  </si>
  <si>
    <t>Q</t>
    <phoneticPr fontId="4" type="noConversion"/>
  </si>
  <si>
    <t>c</t>
    <phoneticPr fontId="4" type="noConversion"/>
  </si>
  <si>
    <t>A</t>
    <phoneticPr fontId="4" type="noConversion"/>
  </si>
  <si>
    <t>W</t>
    <phoneticPr fontId="4" type="noConversion"/>
  </si>
  <si>
    <t>P</t>
    <phoneticPr fontId="4" type="noConversion"/>
  </si>
  <si>
    <t>R</t>
    <phoneticPr fontId="4" type="noConversion"/>
  </si>
  <si>
    <t>V</t>
    <phoneticPr fontId="4" type="noConversion"/>
  </si>
  <si>
    <t>yn</t>
  </si>
  <si>
    <t>Chl_Bot0</t>
    <phoneticPr fontId="4" type="noConversion"/>
  </si>
  <si>
    <t>Chl_Bot1</t>
    <phoneticPr fontId="4" type="noConversion"/>
  </si>
  <si>
    <t>WL_yn</t>
    <phoneticPr fontId="4" type="noConversion"/>
  </si>
  <si>
    <t>WL_yc</t>
    <phoneticPr fontId="4" type="noConversion"/>
  </si>
  <si>
    <t>Sno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</si>
</sst>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"/>
    <numFmt numFmtId="177" formatCode="0.00000"/>
    <numFmt numFmtId="178" formatCode="0.00_ "/>
    <numFmt numFmtId="182" formatCode="0.00000000"/>
  </numFmts>
  <fonts count="7" x14ac:knownFonts="1">
    <font>
      <sz val="11"/>
      <color theme="1"/>
      <name val="新細明體"/>
      <family val="2"/>
      <scheme val="minor"/>
    </font>
    <font>
      <sz val="11"/>
      <color theme="1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1"/>
      <color rgb="FF3F3F76"/>
      <name val="Arial Unicode MS"/>
      <family val="2"/>
      <charset val="136"/>
    </font>
    <font>
      <sz val="9"/>
      <name val="新細明體"/>
      <family val="3"/>
      <charset val="136"/>
      <scheme val="minor"/>
    </font>
    <font>
      <sz val="11"/>
      <color theme="1"/>
      <name val="Arial"/>
      <family val="2"/>
    </font>
    <font>
      <sz val="11"/>
      <color theme="0"/>
      <name val="Arial Unicode MS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2" borderId="1" applyNumberFormat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</cellStyleXfs>
  <cellXfs count="22">
    <xf numFmtId="0" fontId="0" fillId="0" borderId="0" xfId="0"/>
    <xf numFmtId="0" fontId="5" fillId="0" borderId="0" xfId="0" applyFont="1"/>
    <xf numFmtId="0" fontId="2" fillId="3" borderId="0" xfId="2" applyAlignment="1"/>
    <xf numFmtId="0" fontId="3" fillId="2" borderId="1" xfId="1" applyAlignment="1"/>
    <xf numFmtId="2" fontId="5" fillId="0" borderId="0" xfId="0" applyNumberFormat="1" applyFont="1"/>
    <xf numFmtId="176" fontId="5" fillId="0" borderId="0" xfId="0" applyNumberFormat="1" applyFont="1"/>
    <xf numFmtId="177" fontId="5" fillId="0" borderId="0" xfId="0" applyNumberFormat="1" applyFont="1"/>
    <xf numFmtId="2" fontId="5" fillId="0" borderId="2" xfId="0" applyNumberFormat="1" applyFont="1" applyBorder="1"/>
    <xf numFmtId="176" fontId="5" fillId="0" borderId="2" xfId="0" applyNumberFormat="1" applyFont="1" applyBorder="1"/>
    <xf numFmtId="178" fontId="5" fillId="0" borderId="0" xfId="0" applyNumberFormat="1" applyFont="1"/>
    <xf numFmtId="0" fontId="5" fillId="0" borderId="2" xfId="0" applyFont="1" applyBorder="1"/>
    <xf numFmtId="178" fontId="5" fillId="0" borderId="2" xfId="0" applyNumberFormat="1" applyFont="1" applyBorder="1"/>
    <xf numFmtId="2" fontId="6" fillId="4" borderId="1" xfId="3" applyNumberFormat="1" applyBorder="1" applyAlignment="1"/>
    <xf numFmtId="178" fontId="6" fillId="4" borderId="1" xfId="3" applyNumberFormat="1" applyBorder="1" applyAlignment="1"/>
    <xf numFmtId="0" fontId="1" fillId="0" borderId="0" xfId="0" applyFont="1" applyAlignment="1">
      <alignment vertical="center"/>
    </xf>
    <xf numFmtId="178" fontId="5" fillId="0" borderId="0" xfId="0" applyNumberFormat="1" applyFont="1" applyBorder="1"/>
    <xf numFmtId="0" fontId="5" fillId="0" borderId="0" xfId="0" applyFont="1" applyBorder="1"/>
    <xf numFmtId="0" fontId="1" fillId="0" borderId="0" xfId="0" applyFont="1" applyBorder="1" applyAlignment="1">
      <alignment vertical="center"/>
    </xf>
    <xf numFmtId="2" fontId="5" fillId="0" borderId="0" xfId="0" applyNumberFormat="1" applyFont="1" applyBorder="1"/>
    <xf numFmtId="0" fontId="1" fillId="0" borderId="0" xfId="0" applyFont="1"/>
    <xf numFmtId="2" fontId="1" fillId="0" borderId="0" xfId="0" applyNumberFormat="1" applyFont="1"/>
    <xf numFmtId="182" fontId="0" fillId="0" borderId="0" xfId="0" applyNumberFormat="1"/>
  </cellXfs>
  <cellStyles count="4">
    <cellStyle name="40% - Accent1" xfId="2" builtinId="31"/>
    <cellStyle name="Accent4" xfId="3" builtinId="41"/>
    <cellStyle name="Input" xfId="1" builtinId="20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Batch_013!$E$1</c:f>
              <c:strCache>
                <c:ptCount val="1"/>
                <c:pt idx="0">
                  <c:v>yn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Batch_013!$D$2:$D$5</c:f>
              <c:numCache>
                <c:formatCode>0.00</c:formatCode>
                <c:ptCount val="4"/>
                <c:pt idx="0">
                  <c:v>6.75</c:v>
                </c:pt>
                <c:pt idx="1">
                  <c:v>22.5</c:v>
                </c:pt>
                <c:pt idx="2">
                  <c:v>45</c:v>
                </c:pt>
                <c:pt idx="3">
                  <c:v>49.5</c:v>
                </c:pt>
              </c:numCache>
            </c:numRef>
          </c:xVal>
          <c:yVal>
            <c:numRef>
              <c:f>Batch_013!$E$2:$E$5</c:f>
              <c:numCache>
                <c:formatCode>0.000</c:formatCode>
                <c:ptCount val="4"/>
                <c:pt idx="0">
                  <c:v>0.79078428776893961</c:v>
                </c:pt>
                <c:pt idx="1">
                  <c:v>1.8133979050178659</c:v>
                </c:pt>
                <c:pt idx="2">
                  <c:v>3.0575948417085255</c:v>
                </c:pt>
                <c:pt idx="3">
                  <c:v>3.295096926362107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38-4D22-AF84-2F8F136C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949648"/>
        <c:axId val="1563787904"/>
      </c:scatterChart>
      <c:valAx>
        <c:axId val="134094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63787904"/>
        <c:crosses val="autoZero"/>
        <c:crossBetween val="midCat"/>
      </c:valAx>
      <c:valAx>
        <c:axId val="156378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4094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Batch_014!$E$1</c:f>
              <c:strCache>
                <c:ptCount val="1"/>
                <c:pt idx="0">
                  <c:v>yn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Batch_014!$D$2:$D$12</c:f>
              <c:numCache>
                <c:formatCode>0.00</c:formatCode>
                <c:ptCount val="1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22.5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Batch_014!$E$2:$E$12</c:f>
              <c:numCache>
                <c:formatCode>0.000</c:formatCode>
                <c:ptCount val="11"/>
                <c:pt idx="0">
                  <c:v>0.68276903459782878</c:v>
                </c:pt>
                <c:pt idx="1">
                  <c:v>1.0801588773267616</c:v>
                </c:pt>
                <c:pt idx="2">
                  <c:v>1.4302999758282917</c:v>
                </c:pt>
                <c:pt idx="3">
                  <c:v>1.7567400708649741</c:v>
                </c:pt>
                <c:pt idx="4">
                  <c:v>1.9142369294746258</c:v>
                </c:pt>
                <c:pt idx="5" formatCode="0.00">
                  <c:v>2.0687700878538906</c:v>
                </c:pt>
                <c:pt idx="6" formatCode="0.00">
                  <c:v>2.3708766885683481</c:v>
                </c:pt>
                <c:pt idx="7" formatCode="0.00">
                  <c:v>2.6658059371155334</c:v>
                </c:pt>
                <c:pt idx="8" formatCode="0.00">
                  <c:v>2.9552744972082721</c:v>
                </c:pt>
                <c:pt idx="9" formatCode="0.00">
                  <c:v>3.2405007166265105</c:v>
                </c:pt>
                <c:pt idx="10" formatCode="0.00">
                  <c:v>3.5222993939001865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57-49C7-9E35-77C5ACBB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906432"/>
        <c:axId val="1563809536"/>
      </c:scatterChart>
      <c:valAx>
        <c:axId val="134090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63809536"/>
        <c:crosses val="autoZero"/>
        <c:crossBetween val="midCat"/>
      </c:valAx>
      <c:valAx>
        <c:axId val="156380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4090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'2CHL'!$E$1</c:f>
              <c:strCache>
                <c:ptCount val="1"/>
                <c:pt idx="0">
                  <c:v>yn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'2CHL'!$D$2:$D$2</c:f>
              <c:numCache>
                <c:formatCode>0.00</c:formatCode>
                <c:ptCount val="1"/>
                <c:pt idx="0">
                  <c:v>49.5</c:v>
                </c:pt>
              </c:numCache>
            </c:numRef>
          </c:xVal>
          <c:yVal>
            <c:numRef>
              <c:f>'2CHL'!$E$2:$E$2</c:f>
              <c:numCache>
                <c:formatCode>0.000</c:formatCode>
                <c:ptCount val="1"/>
                <c:pt idx="0">
                  <c:v>2.0534407728808617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8A-475E-8FB8-F5B1BDA5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949648"/>
        <c:axId val="1563787904"/>
      </c:scatterChart>
      <c:valAx>
        <c:axId val="134094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63787904"/>
        <c:crosses val="autoZero"/>
        <c:crossBetween val="midCat"/>
      </c:valAx>
      <c:valAx>
        <c:axId val="156378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4094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'1CHL'!$E$1</c:f>
              <c:strCache>
                <c:ptCount val="1"/>
                <c:pt idx="0">
                  <c:v>yn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'1CHL'!$D$2</c:f>
              <c:numCache>
                <c:formatCode>General</c:formatCode>
                <c:ptCount val="1"/>
                <c:pt idx="0">
                  <c:v>45</c:v>
                </c:pt>
              </c:numCache>
            </c:numRef>
          </c:xVal>
          <c:yVal>
            <c:numRef>
              <c:f>'1CHL'!$E$2</c:f>
              <c:numCache>
                <c:formatCode>0.00</c:formatCode>
                <c:ptCount val="1"/>
                <c:pt idx="0">
                  <c:v>3.240504883886036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D7-4D37-BF6B-74B14B40F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949648"/>
        <c:axId val="1563787904"/>
      </c:scatterChart>
      <c:valAx>
        <c:axId val="134094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63787904"/>
        <c:crosses val="autoZero"/>
        <c:crossBetween val="midCat"/>
      </c:valAx>
      <c:valAx>
        <c:axId val="156378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4094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51288</xdr:colOff>
      <xdr:row>0</xdr:row>
      <xdr:rowOff>75467</xdr:rowOff>
    </xdr:from>
    <xdr:to>
      <xdr:col>13</xdr:col>
      <xdr:colOff>366346</xdr:colOff>
      <xdr:row>17</xdr:row>
      <xdr:rowOff>153864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ADE8B2-1332-4316-B124-A3B727E957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0</xdr:row>
      <xdr:rowOff>80596</xdr:rowOff>
    </xdr:from>
    <xdr:to>
      <xdr:col>13</xdr:col>
      <xdr:colOff>410307</xdr:colOff>
      <xdr:row>18</xdr:row>
      <xdr:rowOff>27108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1444B-7E4B-4461-889B-6D4C296A7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109905</xdr:colOff>
      <xdr:row>0</xdr:row>
      <xdr:rowOff>53486</xdr:rowOff>
    </xdr:from>
    <xdr:to>
      <xdr:col>18</xdr:col>
      <xdr:colOff>424963</xdr:colOff>
      <xdr:row>17</xdr:row>
      <xdr:rowOff>131883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01738F-CEF0-4170-919F-9489139D7B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109905</xdr:colOff>
      <xdr:row>0</xdr:row>
      <xdr:rowOff>53486</xdr:rowOff>
    </xdr:from>
    <xdr:to>
      <xdr:col>18</xdr:col>
      <xdr:colOff>424963</xdr:colOff>
      <xdr:row>17</xdr:row>
      <xdr:rowOff>131883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7D2CF8-24AF-4BDB-B48A-DFDBD74E40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"/>
  <sheetViews>
    <sheetView zoomScale="160" zoomScaleNormal="160" workbookViewId="0">
      <selection activeCell="B12" sqref="B12"/>
    </sheetView>
  </sheetViews>
  <sheetFormatPr defaultRowHeight="14.25" x14ac:dyDescent="0.2"/>
  <cols>
    <col min="1" max="16384" width="9.140625" style="1"/>
  </cols>
  <sheetData>
    <row r="1" spans="1:2" x14ac:dyDescent="0.2">
      <c r="A1" s="1" t="s">
        <v>3</v>
      </c>
      <c r="B1" s="1">
        <v>45</v>
      </c>
    </row>
    <row r="2" spans="1:2" ht="16.5" x14ac:dyDescent="0.3">
      <c r="A2" s="2" t="s">
        <v>0</v>
      </c>
      <c r="B2" s="2">
        <v>3.2405100634514836</v>
      </c>
    </row>
    <row r="3" spans="1:2" x14ac:dyDescent="0.2">
      <c r="A3" s="1" t="s">
        <v>6</v>
      </c>
      <c r="B3" s="1">
        <v>4.5</v>
      </c>
    </row>
    <row r="4" spans="1:2" x14ac:dyDescent="0.2">
      <c r="A4" s="1" t="s">
        <v>1</v>
      </c>
      <c r="B4" s="1">
        <v>1.4E-2</v>
      </c>
    </row>
    <row r="5" spans="1:2" x14ac:dyDescent="0.2">
      <c r="A5" s="1" t="s">
        <v>2</v>
      </c>
      <c r="B5" s="1">
        <f>1/800</f>
        <v>1.25E-3</v>
      </c>
    </row>
    <row r="6" spans="1:2" x14ac:dyDescent="0.2">
      <c r="A6" s="1" t="s">
        <v>4</v>
      </c>
      <c r="B6" s="1">
        <v>0.3</v>
      </c>
    </row>
    <row r="8" spans="1:2" x14ac:dyDescent="0.2">
      <c r="A8" s="1" t="s">
        <v>5</v>
      </c>
      <c r="B8" s="1">
        <f>W*y-c_*c_</f>
        <v>14.492295285531677</v>
      </c>
    </row>
    <row r="9" spans="1:2" x14ac:dyDescent="0.2">
      <c r="A9" s="1" t="s">
        <v>7</v>
      </c>
      <c r="B9" s="1">
        <f>W-2*c_+2*(y-c_)+2*c_*SQRT(2)</f>
        <v>10.629548264326825</v>
      </c>
    </row>
    <row r="10" spans="1:2" x14ac:dyDescent="0.2">
      <c r="A10" s="1" t="s">
        <v>8</v>
      </c>
      <c r="B10" s="1">
        <f>A/P</f>
        <v>1.3633971007186054</v>
      </c>
    </row>
    <row r="11" spans="1:2" x14ac:dyDescent="0.2">
      <c r="A11" s="1" t="s">
        <v>9</v>
      </c>
      <c r="B11" s="1">
        <f>1/n*R_^(2/3)*Sf^(1/2)</f>
        <v>3.1050973094452159</v>
      </c>
    </row>
    <row r="12" spans="1:2" ht="16.5" x14ac:dyDescent="0.3">
      <c r="A12" s="3" t="s">
        <v>3</v>
      </c>
      <c r="B12" s="3">
        <f>V*A</f>
        <v>44.999987098789994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2"/>
  <sheetViews>
    <sheetView zoomScale="160" zoomScaleNormal="160" workbookViewId="0">
      <selection activeCell="B6" sqref="B6"/>
    </sheetView>
  </sheetViews>
  <sheetFormatPr defaultRowHeight="14.25" x14ac:dyDescent="0.2"/>
  <cols>
    <col min="1" max="16384" width="9.140625" style="1"/>
  </cols>
  <sheetData>
    <row r="1" spans="1:2" x14ac:dyDescent="0.2">
      <c r="A1" s="1" t="s">
        <v>3</v>
      </c>
      <c r="B1" s="1">
        <v>22.5</v>
      </c>
    </row>
    <row r="2" spans="1:2" ht="16.5" x14ac:dyDescent="0.3">
      <c r="A2" s="2" t="s">
        <v>0</v>
      </c>
      <c r="B2" s="2">
        <v>1.9142499959466677</v>
      </c>
    </row>
    <row r="3" spans="1:2" x14ac:dyDescent="0.2">
      <c r="A3" s="1" t="s">
        <v>6</v>
      </c>
      <c r="B3" s="1">
        <v>4.5</v>
      </c>
    </row>
    <row r="4" spans="1:2" x14ac:dyDescent="0.2">
      <c r="A4" s="1" t="s">
        <v>1</v>
      </c>
      <c r="B4" s="1">
        <v>1.4E-2</v>
      </c>
    </row>
    <row r="5" spans="1:2" x14ac:dyDescent="0.2">
      <c r="A5" s="1" t="s">
        <v>2</v>
      </c>
      <c r="B5" s="1">
        <f>1/800</f>
        <v>1.25E-3</v>
      </c>
    </row>
    <row r="6" spans="1:2" x14ac:dyDescent="0.2">
      <c r="A6" s="1" t="s">
        <v>4</v>
      </c>
      <c r="B6" s="1">
        <v>0.3</v>
      </c>
    </row>
    <row r="8" spans="1:2" x14ac:dyDescent="0.2">
      <c r="A8" s="1" t="s">
        <v>5</v>
      </c>
      <c r="B8" s="1">
        <f>W*y-c_*c_</f>
        <v>8.5241249817600053</v>
      </c>
    </row>
    <row r="9" spans="1:2" x14ac:dyDescent="0.2">
      <c r="A9" s="1" t="s">
        <v>7</v>
      </c>
      <c r="B9" s="1">
        <f>W-2*c_+2*(y-c_)+2*c_*SQRT(2)</f>
        <v>7.9770281293171923</v>
      </c>
    </row>
    <row r="10" spans="1:2" x14ac:dyDescent="0.2">
      <c r="A10" s="1" t="s">
        <v>8</v>
      </c>
      <c r="B10" s="1">
        <f>A/P</f>
        <v>1.0685840445305841</v>
      </c>
    </row>
    <row r="11" spans="1:2" x14ac:dyDescent="0.2">
      <c r="A11" s="1" t="s">
        <v>9</v>
      </c>
      <c r="B11" s="1">
        <f>1/n*R_^(2/3)*Sf^(1/2)</f>
        <v>2.6395674306146111</v>
      </c>
    </row>
    <row r="12" spans="1:2" ht="16.5" x14ac:dyDescent="0.3">
      <c r="A12" s="3" t="s">
        <v>3</v>
      </c>
      <c r="B12" s="3">
        <f>V*A</f>
        <v>22.500002676342074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67"/>
  <sheetViews>
    <sheetView zoomScale="130" zoomScaleNormal="130" workbookViewId="0">
      <selection activeCell="B7" sqref="B7"/>
    </sheetView>
  </sheetViews>
  <sheetFormatPr defaultRowHeight="14.25" x14ac:dyDescent="0.2"/>
  <cols>
    <col min="1" max="4" width="9.140625" style="1"/>
    <col min="5" max="5" width="10.28515625" style="1" bestFit="1" customWidth="1"/>
    <col min="6" max="16384" width="9.140625" style="1"/>
  </cols>
  <sheetData>
    <row r="1" spans="1:5" ht="16.5" x14ac:dyDescent="0.3">
      <c r="A1" s="2" t="s">
        <v>0</v>
      </c>
      <c r="B1" s="2">
        <v>3.295096926362107</v>
      </c>
      <c r="D1" s="1" t="s">
        <v>3</v>
      </c>
      <c r="E1" s="1" t="s">
        <v>10</v>
      </c>
    </row>
    <row r="2" spans="1:5" x14ac:dyDescent="0.2">
      <c r="A2" s="1" t="s">
        <v>6</v>
      </c>
      <c r="B2" s="1">
        <v>4.5</v>
      </c>
      <c r="D2" s="4">
        <v>6.75</v>
      </c>
      <c r="E2" s="5">
        <v>0.79078428776893961</v>
      </c>
    </row>
    <row r="3" spans="1:5" x14ac:dyDescent="0.2">
      <c r="A3" s="1" t="s">
        <v>1</v>
      </c>
      <c r="B3" s="1">
        <v>1.2999999999999999E-2</v>
      </c>
      <c r="D3" s="4">
        <v>22.5</v>
      </c>
      <c r="E3" s="5">
        <v>1.8133979050178659</v>
      </c>
    </row>
    <row r="4" spans="1:5" x14ac:dyDescent="0.2">
      <c r="A4" s="1" t="s">
        <v>2</v>
      </c>
      <c r="B4" s="1">
        <f>1/800</f>
        <v>1.25E-3</v>
      </c>
      <c r="D4" s="4">
        <v>45</v>
      </c>
      <c r="E4" s="5">
        <v>3.0575948417085255</v>
      </c>
    </row>
    <row r="5" spans="1:5" x14ac:dyDescent="0.2">
      <c r="A5" s="1" t="s">
        <v>4</v>
      </c>
      <c r="B5" s="1">
        <v>0.3</v>
      </c>
      <c r="D5" s="4">
        <v>49.5</v>
      </c>
      <c r="E5" s="5">
        <v>3.295096926362107</v>
      </c>
    </row>
    <row r="6" spans="1:5" x14ac:dyDescent="0.2">
      <c r="D6" s="4"/>
      <c r="E6" s="4"/>
    </row>
    <row r="7" spans="1:5" x14ac:dyDescent="0.2">
      <c r="A7" s="1" t="s">
        <v>5</v>
      </c>
      <c r="B7" s="1">
        <f>W*y-c_*c_</f>
        <v>14.737936168629481</v>
      </c>
      <c r="D7" s="4"/>
      <c r="E7" s="4"/>
    </row>
    <row r="8" spans="1:5" x14ac:dyDescent="0.2">
      <c r="A8" s="1" t="s">
        <v>7</v>
      </c>
      <c r="B8" s="1">
        <f>W-2*c_+2*(y-c_)+2*c_*SQRT(2)</f>
        <v>10.738721990148072</v>
      </c>
      <c r="D8" s="4"/>
      <c r="E8" s="4"/>
    </row>
    <row r="9" spans="1:5" x14ac:dyDescent="0.2">
      <c r="A9" s="1" t="s">
        <v>8</v>
      </c>
      <c r="B9" s="1">
        <f>A/P</f>
        <v>1.3724106259711697</v>
      </c>
      <c r="D9" s="4"/>
      <c r="E9" s="4"/>
    </row>
    <row r="10" spans="1:5" x14ac:dyDescent="0.2">
      <c r="A10" s="1" t="s">
        <v>9</v>
      </c>
      <c r="B10" s="1">
        <f>1/n*R_^(2/3)*Sf^(1/2)</f>
        <v>3.3586728385321849</v>
      </c>
      <c r="D10" s="4"/>
      <c r="E10" s="4"/>
    </row>
    <row r="11" spans="1:5" ht="16.5" x14ac:dyDescent="0.3">
      <c r="A11" s="3" t="s">
        <v>3</v>
      </c>
      <c r="B11" s="3">
        <f>V*A</f>
        <v>49.499905905596933</v>
      </c>
      <c r="D11" s="4"/>
      <c r="E11" s="4"/>
    </row>
    <row r="12" spans="1:5" x14ac:dyDescent="0.2">
      <c r="D12" s="4"/>
      <c r="E12" s="4"/>
    </row>
    <row r="13" spans="1:5" x14ac:dyDescent="0.2">
      <c r="D13" s="4"/>
      <c r="E13" s="4"/>
    </row>
    <row r="14" spans="1:5" x14ac:dyDescent="0.2">
      <c r="D14" s="4"/>
      <c r="E14" s="4"/>
    </row>
    <row r="15" spans="1:5" x14ac:dyDescent="0.2">
      <c r="D15" s="4"/>
      <c r="E15" s="4"/>
    </row>
    <row r="16" spans="1:5" x14ac:dyDescent="0.2">
      <c r="D16" s="4"/>
      <c r="E16" s="4"/>
    </row>
    <row r="17" spans="4:5" x14ac:dyDescent="0.2">
      <c r="D17" s="4"/>
      <c r="E17" s="4"/>
    </row>
    <row r="18" spans="4:5" x14ac:dyDescent="0.2">
      <c r="D18" s="4"/>
      <c r="E18" s="4"/>
    </row>
    <row r="19" spans="4:5" x14ac:dyDescent="0.2">
      <c r="D19" s="4"/>
      <c r="E19" s="4"/>
    </row>
    <row r="20" spans="4:5" x14ac:dyDescent="0.2">
      <c r="D20" s="4"/>
      <c r="E20" s="4"/>
    </row>
    <row r="21" spans="4:5" x14ac:dyDescent="0.2">
      <c r="D21" s="4"/>
      <c r="E21" s="4"/>
    </row>
    <row r="22" spans="4:5" x14ac:dyDescent="0.2">
      <c r="D22" s="4"/>
      <c r="E22" s="4"/>
    </row>
    <row r="23" spans="4:5" x14ac:dyDescent="0.2">
      <c r="D23" s="4"/>
      <c r="E23" s="4"/>
    </row>
    <row r="24" spans="4:5" x14ac:dyDescent="0.2">
      <c r="D24" s="4"/>
      <c r="E24" s="4"/>
    </row>
    <row r="25" spans="4:5" x14ac:dyDescent="0.2">
      <c r="D25" s="4"/>
      <c r="E25" s="4"/>
    </row>
    <row r="26" spans="4:5" x14ac:dyDescent="0.2">
      <c r="D26" s="4"/>
      <c r="E26" s="4"/>
    </row>
    <row r="27" spans="4:5" x14ac:dyDescent="0.2">
      <c r="D27" s="4"/>
      <c r="E27" s="4"/>
    </row>
    <row r="28" spans="4:5" x14ac:dyDescent="0.2">
      <c r="D28" s="4"/>
      <c r="E28" s="4"/>
    </row>
    <row r="29" spans="4:5" x14ac:dyDescent="0.2">
      <c r="D29" s="4"/>
      <c r="E29" s="4"/>
    </row>
    <row r="30" spans="4:5" x14ac:dyDescent="0.2">
      <c r="D30" s="4"/>
      <c r="E30" s="4"/>
    </row>
    <row r="31" spans="4:5" x14ac:dyDescent="0.2">
      <c r="D31" s="4"/>
      <c r="E31" s="4"/>
    </row>
    <row r="32" spans="4:5" x14ac:dyDescent="0.2">
      <c r="D32" s="4"/>
      <c r="E32" s="4"/>
    </row>
    <row r="33" spans="4:5" x14ac:dyDescent="0.2">
      <c r="D33" s="4"/>
      <c r="E33" s="4"/>
    </row>
    <row r="34" spans="4:5" x14ac:dyDescent="0.2">
      <c r="D34" s="4"/>
      <c r="E34" s="4"/>
    </row>
    <row r="35" spans="4:5" x14ac:dyDescent="0.2">
      <c r="D35" s="4"/>
      <c r="E35" s="4"/>
    </row>
    <row r="36" spans="4:5" x14ac:dyDescent="0.2">
      <c r="D36" s="4"/>
      <c r="E36" s="4"/>
    </row>
    <row r="37" spans="4:5" x14ac:dyDescent="0.2">
      <c r="D37" s="4"/>
      <c r="E37" s="4"/>
    </row>
    <row r="38" spans="4:5" x14ac:dyDescent="0.2">
      <c r="D38" s="4"/>
      <c r="E38" s="4"/>
    </row>
    <row r="39" spans="4:5" x14ac:dyDescent="0.2">
      <c r="D39" s="4"/>
      <c r="E39" s="4"/>
    </row>
    <row r="40" spans="4:5" x14ac:dyDescent="0.2">
      <c r="D40" s="4"/>
      <c r="E40" s="4"/>
    </row>
    <row r="41" spans="4:5" x14ac:dyDescent="0.2">
      <c r="D41" s="4"/>
      <c r="E41" s="4"/>
    </row>
    <row r="42" spans="4:5" x14ac:dyDescent="0.2">
      <c r="D42" s="4"/>
      <c r="E42" s="4"/>
    </row>
    <row r="43" spans="4:5" x14ac:dyDescent="0.2">
      <c r="D43" s="4"/>
      <c r="E43" s="4"/>
    </row>
    <row r="44" spans="4:5" x14ac:dyDescent="0.2">
      <c r="D44" s="4"/>
      <c r="E44" s="4"/>
    </row>
    <row r="45" spans="4:5" x14ac:dyDescent="0.2">
      <c r="D45" s="4"/>
      <c r="E45" s="4"/>
    </row>
    <row r="46" spans="4:5" x14ac:dyDescent="0.2">
      <c r="D46" s="4"/>
      <c r="E46" s="4"/>
    </row>
    <row r="47" spans="4:5" x14ac:dyDescent="0.2">
      <c r="D47" s="4"/>
      <c r="E47" s="4"/>
    </row>
    <row r="48" spans="4:5" x14ac:dyDescent="0.2">
      <c r="D48" s="4"/>
      <c r="E48" s="4"/>
    </row>
    <row r="49" spans="4:5" x14ac:dyDescent="0.2">
      <c r="D49" s="4"/>
      <c r="E49" s="4"/>
    </row>
    <row r="50" spans="4:5" x14ac:dyDescent="0.2">
      <c r="D50" s="4"/>
      <c r="E50" s="4"/>
    </row>
    <row r="51" spans="4:5" x14ac:dyDescent="0.2">
      <c r="D51" s="4"/>
      <c r="E51" s="4"/>
    </row>
    <row r="52" spans="4:5" x14ac:dyDescent="0.2">
      <c r="D52" s="4"/>
      <c r="E52" s="4"/>
    </row>
    <row r="53" spans="4:5" x14ac:dyDescent="0.2">
      <c r="D53" s="4"/>
      <c r="E53" s="4"/>
    </row>
    <row r="54" spans="4:5" x14ac:dyDescent="0.2">
      <c r="D54" s="4"/>
      <c r="E54" s="4"/>
    </row>
    <row r="55" spans="4:5" x14ac:dyDescent="0.2">
      <c r="D55" s="4"/>
      <c r="E55" s="4"/>
    </row>
    <row r="56" spans="4:5" x14ac:dyDescent="0.2">
      <c r="D56" s="4"/>
      <c r="E56" s="4"/>
    </row>
    <row r="57" spans="4:5" x14ac:dyDescent="0.2">
      <c r="D57" s="4"/>
      <c r="E57" s="4"/>
    </row>
    <row r="58" spans="4:5" x14ac:dyDescent="0.2">
      <c r="D58" s="4"/>
      <c r="E58" s="4"/>
    </row>
    <row r="59" spans="4:5" x14ac:dyDescent="0.2">
      <c r="D59" s="4"/>
      <c r="E59" s="4"/>
    </row>
    <row r="60" spans="4:5" x14ac:dyDescent="0.2">
      <c r="D60" s="4"/>
      <c r="E60" s="4"/>
    </row>
    <row r="61" spans="4:5" x14ac:dyDescent="0.2">
      <c r="D61" s="4"/>
      <c r="E61" s="4"/>
    </row>
    <row r="62" spans="4:5" x14ac:dyDescent="0.2">
      <c r="D62" s="4"/>
      <c r="E62" s="4"/>
    </row>
    <row r="63" spans="4:5" x14ac:dyDescent="0.2">
      <c r="D63" s="4"/>
      <c r="E63" s="4"/>
    </row>
    <row r="64" spans="4:5" x14ac:dyDescent="0.2">
      <c r="D64" s="4"/>
      <c r="E64" s="4"/>
    </row>
    <row r="65" spans="4:5" x14ac:dyDescent="0.2">
      <c r="D65" s="4"/>
      <c r="E65" s="4"/>
    </row>
    <row r="66" spans="4:5" x14ac:dyDescent="0.2">
      <c r="D66" s="4"/>
    </row>
    <row r="67" spans="4:5" x14ac:dyDescent="0.2">
      <c r="D67" s="4"/>
    </row>
  </sheetData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64ED7-D1F8-4A5C-92EB-F7EE8B64EAE7}">
  <sheetPr codeName="Sheet6"/>
  <dimension ref="A1:E68"/>
  <sheetViews>
    <sheetView zoomScale="130" zoomScaleNormal="130" workbookViewId="0">
      <selection activeCell="D12" sqref="D12"/>
    </sheetView>
  </sheetViews>
  <sheetFormatPr defaultRowHeight="14.25" x14ac:dyDescent="0.2"/>
  <cols>
    <col min="1" max="4" width="9.140625" style="1"/>
    <col min="5" max="5" width="10.28515625" style="1" bestFit="1" customWidth="1"/>
    <col min="6" max="16384" width="9.140625" style="1"/>
  </cols>
  <sheetData>
    <row r="1" spans="1:5" ht="16.5" x14ac:dyDescent="0.3">
      <c r="A1" s="2" t="s">
        <v>0</v>
      </c>
      <c r="B1" s="2">
        <v>3.5222993939001865</v>
      </c>
      <c r="D1" s="1" t="s">
        <v>3</v>
      </c>
      <c r="E1" s="1" t="s">
        <v>10</v>
      </c>
    </row>
    <row r="2" spans="1:5" x14ac:dyDescent="0.2">
      <c r="A2" s="1" t="s">
        <v>6</v>
      </c>
      <c r="B2" s="1">
        <v>4.5</v>
      </c>
      <c r="D2" s="4">
        <v>5</v>
      </c>
      <c r="E2" s="5">
        <v>0.68276903459782878</v>
      </c>
    </row>
    <row r="3" spans="1:5" x14ac:dyDescent="0.2">
      <c r="A3" s="1" t="s">
        <v>1</v>
      </c>
      <c r="B3" s="1">
        <v>1.4E-2</v>
      </c>
      <c r="D3" s="4">
        <v>10</v>
      </c>
      <c r="E3" s="5">
        <v>1.0801588773267616</v>
      </c>
    </row>
    <row r="4" spans="1:5" x14ac:dyDescent="0.2">
      <c r="A4" s="1" t="s">
        <v>2</v>
      </c>
      <c r="B4" s="1">
        <f>1/800</f>
        <v>1.25E-3</v>
      </c>
      <c r="D4" s="4">
        <v>15</v>
      </c>
      <c r="E4" s="5">
        <v>1.4302999758282917</v>
      </c>
    </row>
    <row r="5" spans="1:5" x14ac:dyDescent="0.2">
      <c r="A5" s="1" t="s">
        <v>4</v>
      </c>
      <c r="B5" s="1">
        <v>0.3</v>
      </c>
      <c r="D5" s="4">
        <v>20</v>
      </c>
      <c r="E5" s="5">
        <v>1.7567400708649741</v>
      </c>
    </row>
    <row r="6" spans="1:5" x14ac:dyDescent="0.2">
      <c r="D6" s="4">
        <v>22.5</v>
      </c>
      <c r="E6" s="5">
        <v>1.9142369294746258</v>
      </c>
    </row>
    <row r="7" spans="1:5" x14ac:dyDescent="0.2">
      <c r="A7" s="1" t="s">
        <v>5</v>
      </c>
      <c r="B7" s="1">
        <f>W*y-c_*c_</f>
        <v>15.76034727255084</v>
      </c>
      <c r="D7" s="4">
        <v>25</v>
      </c>
      <c r="E7" s="4">
        <v>2.0687700878538906</v>
      </c>
    </row>
    <row r="8" spans="1:5" x14ac:dyDescent="0.2">
      <c r="A8" s="1" t="s">
        <v>7</v>
      </c>
      <c r="B8" s="1">
        <f>W-2*c_+2*(y-c_)+2*c_*SQRT(2)</f>
        <v>11.193126925224231</v>
      </c>
      <c r="D8" s="4">
        <v>30</v>
      </c>
      <c r="E8" s="4">
        <v>2.3708766885683481</v>
      </c>
    </row>
    <row r="9" spans="1:5" x14ac:dyDescent="0.2">
      <c r="A9" s="1" t="s">
        <v>8</v>
      </c>
      <c r="B9" s="1">
        <f>A/P</f>
        <v>1.4080379305834696</v>
      </c>
      <c r="D9" s="4">
        <v>35</v>
      </c>
      <c r="E9" s="4">
        <v>2.6658059371155334</v>
      </c>
    </row>
    <row r="10" spans="1:5" x14ac:dyDescent="0.2">
      <c r="A10" s="1" t="s">
        <v>9</v>
      </c>
      <c r="B10" s="1">
        <f>1/n*R_^(2/3)*Sf^(1/2)</f>
        <v>3.1725115142873346</v>
      </c>
      <c r="D10" s="4">
        <v>40</v>
      </c>
      <c r="E10" s="4">
        <v>2.9552744972082721</v>
      </c>
    </row>
    <row r="11" spans="1:5" ht="16.5" x14ac:dyDescent="0.3">
      <c r="A11" s="3" t="s">
        <v>3</v>
      </c>
      <c r="B11" s="3">
        <f>V*A</f>
        <v>49.999883191334526</v>
      </c>
      <c r="D11" s="4">
        <v>45</v>
      </c>
      <c r="E11" s="4">
        <v>3.2405007166265105</v>
      </c>
    </row>
    <row r="12" spans="1:5" x14ac:dyDescent="0.2">
      <c r="D12" s="4">
        <v>50</v>
      </c>
      <c r="E12" s="4">
        <v>3.5222993939001865</v>
      </c>
    </row>
    <row r="13" spans="1:5" x14ac:dyDescent="0.2">
      <c r="D13" s="4"/>
      <c r="E13" s="4"/>
    </row>
    <row r="14" spans="1:5" x14ac:dyDescent="0.2">
      <c r="D14" s="4"/>
      <c r="E14" s="4"/>
    </row>
    <row r="15" spans="1:5" x14ac:dyDescent="0.2">
      <c r="D15" s="4"/>
      <c r="E15" s="4"/>
    </row>
    <row r="16" spans="1:5" x14ac:dyDescent="0.2">
      <c r="D16" s="4"/>
      <c r="E16" s="4"/>
    </row>
    <row r="17" spans="4:5" x14ac:dyDescent="0.2">
      <c r="D17" s="4"/>
      <c r="E17" s="4"/>
    </row>
    <row r="18" spans="4:5" x14ac:dyDescent="0.2">
      <c r="D18" s="4"/>
      <c r="E18" s="4"/>
    </row>
    <row r="19" spans="4:5" x14ac:dyDescent="0.2">
      <c r="D19" s="4"/>
      <c r="E19" s="4"/>
    </row>
    <row r="20" spans="4:5" x14ac:dyDescent="0.2">
      <c r="D20" s="4"/>
      <c r="E20" s="4"/>
    </row>
    <row r="21" spans="4:5" x14ac:dyDescent="0.2">
      <c r="D21" s="4"/>
      <c r="E21" s="4"/>
    </row>
    <row r="22" spans="4:5" x14ac:dyDescent="0.2">
      <c r="D22" s="4"/>
      <c r="E22" s="4"/>
    </row>
    <row r="23" spans="4:5" x14ac:dyDescent="0.2">
      <c r="D23" s="4"/>
      <c r="E23" s="4"/>
    </row>
    <row r="24" spans="4:5" x14ac:dyDescent="0.2">
      <c r="D24" s="4"/>
      <c r="E24" s="4"/>
    </row>
    <row r="25" spans="4:5" x14ac:dyDescent="0.2">
      <c r="D25" s="4"/>
      <c r="E25" s="4"/>
    </row>
    <row r="26" spans="4:5" x14ac:dyDescent="0.2">
      <c r="D26" s="4"/>
      <c r="E26" s="4"/>
    </row>
    <row r="27" spans="4:5" x14ac:dyDescent="0.2">
      <c r="D27" s="4"/>
      <c r="E27" s="4"/>
    </row>
    <row r="28" spans="4:5" x14ac:dyDescent="0.2">
      <c r="D28" s="4"/>
      <c r="E28" s="4"/>
    </row>
    <row r="29" spans="4:5" x14ac:dyDescent="0.2">
      <c r="D29" s="4"/>
      <c r="E29" s="4"/>
    </row>
    <row r="30" spans="4:5" x14ac:dyDescent="0.2">
      <c r="D30" s="4"/>
      <c r="E30" s="4"/>
    </row>
    <row r="31" spans="4:5" x14ac:dyDescent="0.2">
      <c r="D31" s="4"/>
      <c r="E31" s="4"/>
    </row>
    <row r="32" spans="4:5" x14ac:dyDescent="0.2">
      <c r="D32" s="4"/>
      <c r="E32" s="4"/>
    </row>
    <row r="33" spans="4:5" x14ac:dyDescent="0.2">
      <c r="D33" s="4"/>
      <c r="E33" s="4"/>
    </row>
    <row r="34" spans="4:5" x14ac:dyDescent="0.2">
      <c r="D34" s="4"/>
      <c r="E34" s="4"/>
    </row>
    <row r="35" spans="4:5" x14ac:dyDescent="0.2">
      <c r="D35" s="4"/>
      <c r="E35" s="4"/>
    </row>
    <row r="36" spans="4:5" x14ac:dyDescent="0.2">
      <c r="D36" s="4"/>
      <c r="E36" s="4"/>
    </row>
    <row r="37" spans="4:5" x14ac:dyDescent="0.2">
      <c r="D37" s="4"/>
      <c r="E37" s="4"/>
    </row>
    <row r="38" spans="4:5" x14ac:dyDescent="0.2">
      <c r="D38" s="4"/>
      <c r="E38" s="4"/>
    </row>
    <row r="39" spans="4:5" x14ac:dyDescent="0.2">
      <c r="D39" s="4"/>
      <c r="E39" s="4"/>
    </row>
    <row r="40" spans="4:5" x14ac:dyDescent="0.2">
      <c r="D40" s="4"/>
      <c r="E40" s="4"/>
    </row>
    <row r="41" spans="4:5" x14ac:dyDescent="0.2">
      <c r="D41" s="4"/>
      <c r="E41" s="4"/>
    </row>
    <row r="42" spans="4:5" x14ac:dyDescent="0.2">
      <c r="D42" s="4"/>
      <c r="E42" s="4"/>
    </row>
    <row r="43" spans="4:5" x14ac:dyDescent="0.2">
      <c r="D43" s="4"/>
      <c r="E43" s="4"/>
    </row>
    <row r="44" spans="4:5" x14ac:dyDescent="0.2">
      <c r="D44" s="4"/>
      <c r="E44" s="4"/>
    </row>
    <row r="45" spans="4:5" x14ac:dyDescent="0.2">
      <c r="D45" s="4"/>
      <c r="E45" s="4"/>
    </row>
    <row r="46" spans="4:5" x14ac:dyDescent="0.2">
      <c r="D46" s="4"/>
      <c r="E46" s="4"/>
    </row>
    <row r="47" spans="4:5" x14ac:dyDescent="0.2">
      <c r="D47" s="4"/>
      <c r="E47" s="4"/>
    </row>
    <row r="48" spans="4:5" x14ac:dyDescent="0.2">
      <c r="D48" s="4"/>
      <c r="E48" s="4"/>
    </row>
    <row r="49" spans="4:5" x14ac:dyDescent="0.2">
      <c r="D49" s="4"/>
      <c r="E49" s="4"/>
    </row>
    <row r="50" spans="4:5" x14ac:dyDescent="0.2">
      <c r="D50" s="4"/>
      <c r="E50" s="4"/>
    </row>
    <row r="51" spans="4:5" x14ac:dyDescent="0.2">
      <c r="D51" s="4"/>
      <c r="E51" s="4"/>
    </row>
    <row r="52" spans="4:5" x14ac:dyDescent="0.2">
      <c r="D52" s="4"/>
      <c r="E52" s="4"/>
    </row>
    <row r="53" spans="4:5" x14ac:dyDescent="0.2">
      <c r="D53" s="4"/>
      <c r="E53" s="4"/>
    </row>
    <row r="54" spans="4:5" x14ac:dyDescent="0.2">
      <c r="D54" s="4"/>
      <c r="E54" s="4"/>
    </row>
    <row r="55" spans="4:5" x14ac:dyDescent="0.2">
      <c r="D55" s="4"/>
      <c r="E55" s="4"/>
    </row>
    <row r="56" spans="4:5" x14ac:dyDescent="0.2">
      <c r="D56" s="4"/>
      <c r="E56" s="4"/>
    </row>
    <row r="57" spans="4:5" x14ac:dyDescent="0.2">
      <c r="D57" s="4"/>
      <c r="E57" s="4"/>
    </row>
    <row r="58" spans="4:5" x14ac:dyDescent="0.2">
      <c r="D58" s="4"/>
      <c r="E58" s="4"/>
    </row>
    <row r="59" spans="4:5" x14ac:dyDescent="0.2">
      <c r="D59" s="4"/>
      <c r="E59" s="4"/>
    </row>
    <row r="60" spans="4:5" x14ac:dyDescent="0.2">
      <c r="D60" s="4"/>
      <c r="E60" s="4"/>
    </row>
    <row r="61" spans="4:5" x14ac:dyDescent="0.2">
      <c r="D61" s="4"/>
      <c r="E61" s="4"/>
    </row>
    <row r="62" spans="4:5" x14ac:dyDescent="0.2">
      <c r="D62" s="4"/>
      <c r="E62" s="4"/>
    </row>
    <row r="63" spans="4:5" x14ac:dyDescent="0.2">
      <c r="D63" s="4"/>
      <c r="E63" s="4"/>
    </row>
    <row r="64" spans="4:5" x14ac:dyDescent="0.2">
      <c r="D64" s="4"/>
      <c r="E64" s="4"/>
    </row>
    <row r="65" spans="4:5" x14ac:dyDescent="0.2">
      <c r="D65" s="4"/>
      <c r="E65" s="4"/>
    </row>
    <row r="66" spans="4:5" x14ac:dyDescent="0.2">
      <c r="D66" s="4"/>
      <c r="E66" s="4"/>
    </row>
    <row r="67" spans="4:5" x14ac:dyDescent="0.2">
      <c r="D67" s="4"/>
    </row>
    <row r="68" spans="4:5" x14ac:dyDescent="0.2">
      <c r="D68" s="4"/>
    </row>
  </sheetData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FFB75-C85A-41A6-ADE2-2AE5FFC50D69}">
  <sheetPr codeName="Sheet7"/>
  <dimension ref="A1:I64"/>
  <sheetViews>
    <sheetView tabSelected="1" zoomScale="130" zoomScaleNormal="130" workbookViewId="0">
      <selection activeCell="F13" sqref="F13:G16"/>
    </sheetView>
  </sheetViews>
  <sheetFormatPr defaultRowHeight="14.25" x14ac:dyDescent="0.2"/>
  <cols>
    <col min="1" max="4" width="9.140625" style="1"/>
    <col min="5" max="5" width="10.28515625" style="1" bestFit="1" customWidth="1"/>
    <col min="6" max="7" width="9.140625" style="1"/>
    <col min="8" max="8" width="10.42578125" style="1" customWidth="1"/>
    <col min="9" max="16384" width="9.140625" style="1"/>
  </cols>
  <sheetData>
    <row r="1" spans="1:9" ht="16.5" x14ac:dyDescent="0.3">
      <c r="A1" s="2" t="s">
        <v>0</v>
      </c>
      <c r="B1" s="2">
        <v>0.53187850943033943</v>
      </c>
      <c r="D1" s="1" t="s">
        <v>3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</row>
    <row r="2" spans="1:9" ht="16.5" x14ac:dyDescent="0.3">
      <c r="A2" s="1" t="s">
        <v>6</v>
      </c>
      <c r="B2" s="1">
        <v>4.5</v>
      </c>
      <c r="D2" s="12">
        <v>49.5</v>
      </c>
      <c r="E2" s="5">
        <v>2.0534407728808617</v>
      </c>
      <c r="F2" s="1">
        <v>131.75299999999999</v>
      </c>
      <c r="G2" s="1">
        <f>F2-0.46</f>
        <v>131.29299999999998</v>
      </c>
      <c r="H2" s="13">
        <f>G2+E2</f>
        <v>133.34644077288084</v>
      </c>
    </row>
    <row r="3" spans="1:9" ht="16.5" x14ac:dyDescent="0.3">
      <c r="A3" s="1" t="s">
        <v>1</v>
      </c>
      <c r="B3" s="1">
        <v>1.4E-2</v>
      </c>
      <c r="D3" s="12">
        <v>45</v>
      </c>
      <c r="E3" s="5">
        <v>1.9142560284522316</v>
      </c>
      <c r="F3" s="1">
        <v>131.75299999999999</v>
      </c>
      <c r="G3" s="1">
        <f t="shared" ref="G3:G7" si="0">F3-0.46</f>
        <v>131.29299999999998</v>
      </c>
      <c r="H3" s="13">
        <f t="shared" ref="H3:H7" si="1">G3+E3</f>
        <v>133.20725602845221</v>
      </c>
    </row>
    <row r="4" spans="1:9" x14ac:dyDescent="0.2">
      <c r="A4" s="1" t="s">
        <v>2</v>
      </c>
      <c r="B4" s="6">
        <f>1/800</f>
        <v>1.25E-3</v>
      </c>
      <c r="D4" s="4">
        <v>40</v>
      </c>
      <c r="E4" s="5">
        <v>1.7568090271476298</v>
      </c>
      <c r="F4" s="1">
        <v>131.75299999999999</v>
      </c>
      <c r="G4" s="1">
        <f t="shared" si="0"/>
        <v>131.29299999999998</v>
      </c>
      <c r="H4" s="9">
        <f t="shared" si="1"/>
        <v>133.0498090271476</v>
      </c>
    </row>
    <row r="5" spans="1:9" x14ac:dyDescent="0.2">
      <c r="A5" s="1" t="s">
        <v>4</v>
      </c>
      <c r="B5" s="1">
        <v>0.3</v>
      </c>
      <c r="D5" s="4">
        <v>35</v>
      </c>
      <c r="E5" s="5">
        <v>1.5957951781348805</v>
      </c>
      <c r="F5" s="1">
        <v>131.75299999999999</v>
      </c>
      <c r="G5" s="1">
        <f t="shared" si="0"/>
        <v>131.29299999999998</v>
      </c>
      <c r="H5" s="9">
        <f t="shared" si="1"/>
        <v>132.88879517813487</v>
      </c>
    </row>
    <row r="6" spans="1:9" x14ac:dyDescent="0.2">
      <c r="D6" s="4">
        <v>32</v>
      </c>
      <c r="E6" s="5">
        <v>1.4971013451285455</v>
      </c>
      <c r="F6" s="1">
        <v>131.75299999999999</v>
      </c>
      <c r="G6" s="1">
        <f t="shared" si="0"/>
        <v>131.29299999999998</v>
      </c>
      <c r="H6" s="9">
        <f t="shared" si="1"/>
        <v>132.79010134512853</v>
      </c>
    </row>
    <row r="7" spans="1:9" x14ac:dyDescent="0.2">
      <c r="A7" s="1" t="s">
        <v>5</v>
      </c>
      <c r="B7" s="1">
        <f>(W*y-c_*c_)</f>
        <v>2.3034532924365276</v>
      </c>
      <c r="D7" s="7">
        <v>30</v>
      </c>
      <c r="E7" s="8">
        <v>1.4303022809166943</v>
      </c>
      <c r="F7" s="10">
        <v>131.75299999999999</v>
      </c>
      <c r="G7" s="10">
        <f t="shared" si="0"/>
        <v>131.29299999999998</v>
      </c>
      <c r="H7" s="11">
        <f t="shared" si="1"/>
        <v>132.72330228091667</v>
      </c>
      <c r="I7" s="10"/>
    </row>
    <row r="8" spans="1:9" x14ac:dyDescent="0.2">
      <c r="A8" s="1" t="s">
        <v>7</v>
      </c>
      <c r="B8" s="1">
        <f>W-2*c_+2*(y-c_)+2*c_*SQRT(2)</f>
        <v>5.212285156284536</v>
      </c>
      <c r="D8" s="4">
        <v>22.5</v>
      </c>
      <c r="E8" s="5">
        <v>1.1707514543631206</v>
      </c>
    </row>
    <row r="9" spans="1:9" x14ac:dyDescent="0.2">
      <c r="A9" s="1" t="s">
        <v>8</v>
      </c>
      <c r="B9" s="1">
        <f>A/P</f>
        <v>0.44192771948772164</v>
      </c>
      <c r="D9" s="4">
        <v>6.75</v>
      </c>
      <c r="E9" s="5">
        <v>0.53187850943033943</v>
      </c>
    </row>
    <row r="10" spans="1:9" x14ac:dyDescent="0.2">
      <c r="A10" s="1" t="s">
        <v>9</v>
      </c>
      <c r="B10" s="1">
        <f>1/n*R_^(2/3)*Sf^(1/2)</f>
        <v>1.4651917554090257</v>
      </c>
      <c r="D10" s="4"/>
      <c r="E10" s="4"/>
    </row>
    <row r="11" spans="1:9" ht="16.5" x14ac:dyDescent="0.3">
      <c r="A11" s="3" t="s">
        <v>3</v>
      </c>
      <c r="B11" s="3">
        <f>2*V*A</f>
        <v>6.7500015460955511</v>
      </c>
      <c r="D11" s="4"/>
      <c r="E11" s="4"/>
    </row>
    <row r="12" spans="1:9" x14ac:dyDescent="0.2">
      <c r="C12" s="1" t="s">
        <v>15</v>
      </c>
      <c r="D12" s="4" t="s">
        <v>3</v>
      </c>
      <c r="E12" s="4"/>
    </row>
    <row r="13" spans="1:9" ht="16.5" x14ac:dyDescent="0.3">
      <c r="C13" s="1">
        <v>1</v>
      </c>
      <c r="D13" s="4">
        <v>45</v>
      </c>
      <c r="E13" s="19">
        <v>133.35</v>
      </c>
      <c r="F13" s="19">
        <v>132.72</v>
      </c>
      <c r="G13" s="1">
        <f>E13-F13</f>
        <v>0.62999999999999545</v>
      </c>
    </row>
    <row r="14" spans="1:9" ht="16.5" x14ac:dyDescent="0.3">
      <c r="C14" s="1">
        <v>2</v>
      </c>
      <c r="D14" s="4">
        <v>45</v>
      </c>
      <c r="E14" s="19">
        <v>133.35</v>
      </c>
      <c r="F14" s="19">
        <v>133.96</v>
      </c>
      <c r="G14" s="1">
        <f t="shared" ref="G14:G16" si="2">E14-F14</f>
        <v>-0.61000000000001364</v>
      </c>
    </row>
    <row r="15" spans="1:9" ht="16.5" x14ac:dyDescent="0.3">
      <c r="C15" s="1">
        <v>3</v>
      </c>
      <c r="D15" s="4">
        <v>49.5</v>
      </c>
      <c r="E15" s="19">
        <v>133.21</v>
      </c>
      <c r="F15" s="19">
        <v>133.08000000000001</v>
      </c>
      <c r="G15" s="1">
        <f t="shared" si="2"/>
        <v>0.12999999999999545</v>
      </c>
    </row>
    <row r="16" spans="1:9" ht="16.5" x14ac:dyDescent="0.3">
      <c r="C16" s="1">
        <v>4</v>
      </c>
      <c r="D16" s="4">
        <v>49.5</v>
      </c>
      <c r="E16" s="19">
        <v>133.21</v>
      </c>
      <c r="F16" s="19">
        <v>134.13</v>
      </c>
      <c r="G16" s="1">
        <f t="shared" si="2"/>
        <v>-0.91999999999998749</v>
      </c>
    </row>
    <row r="17" spans="4:5" x14ac:dyDescent="0.2">
      <c r="D17" s="4"/>
      <c r="E17" s="4"/>
    </row>
    <row r="18" spans="4:5" x14ac:dyDescent="0.2">
      <c r="D18" s="4"/>
      <c r="E18" s="4"/>
    </row>
    <row r="19" spans="4:5" x14ac:dyDescent="0.2">
      <c r="D19" s="4"/>
      <c r="E19" s="4"/>
    </row>
    <row r="20" spans="4:5" x14ac:dyDescent="0.2">
      <c r="D20" s="4"/>
      <c r="E20" s="4"/>
    </row>
    <row r="21" spans="4:5" x14ac:dyDescent="0.2">
      <c r="D21" s="4"/>
      <c r="E21" s="4"/>
    </row>
    <row r="22" spans="4:5" x14ac:dyDescent="0.2">
      <c r="D22" s="4"/>
      <c r="E22" s="4"/>
    </row>
    <row r="23" spans="4:5" x14ac:dyDescent="0.2">
      <c r="D23" s="4"/>
      <c r="E23" s="4"/>
    </row>
    <row r="24" spans="4:5" x14ac:dyDescent="0.2">
      <c r="D24" s="4"/>
      <c r="E24" s="4"/>
    </row>
    <row r="25" spans="4:5" x14ac:dyDescent="0.2">
      <c r="D25" s="4"/>
      <c r="E25" s="4"/>
    </row>
    <row r="26" spans="4:5" x14ac:dyDescent="0.2">
      <c r="D26" s="4"/>
      <c r="E26" s="4"/>
    </row>
    <row r="27" spans="4:5" x14ac:dyDescent="0.2">
      <c r="D27" s="4"/>
      <c r="E27" s="4"/>
    </row>
    <row r="28" spans="4:5" x14ac:dyDescent="0.2">
      <c r="D28" s="4"/>
      <c r="E28" s="4"/>
    </row>
    <row r="29" spans="4:5" x14ac:dyDescent="0.2">
      <c r="D29" s="4"/>
      <c r="E29" s="4"/>
    </row>
    <row r="30" spans="4:5" x14ac:dyDescent="0.2">
      <c r="D30" s="4"/>
      <c r="E30" s="4"/>
    </row>
    <row r="31" spans="4:5" x14ac:dyDescent="0.2">
      <c r="D31" s="4"/>
      <c r="E31" s="4"/>
    </row>
    <row r="32" spans="4:5" x14ac:dyDescent="0.2">
      <c r="D32" s="4"/>
      <c r="E32" s="4"/>
    </row>
    <row r="33" spans="4:5" x14ac:dyDescent="0.2">
      <c r="D33" s="4"/>
      <c r="E33" s="4"/>
    </row>
    <row r="34" spans="4:5" x14ac:dyDescent="0.2">
      <c r="D34" s="4"/>
      <c r="E34" s="4"/>
    </row>
    <row r="35" spans="4:5" x14ac:dyDescent="0.2">
      <c r="D35" s="4"/>
      <c r="E35" s="4"/>
    </row>
    <row r="36" spans="4:5" x14ac:dyDescent="0.2">
      <c r="D36" s="4"/>
      <c r="E36" s="4"/>
    </row>
    <row r="37" spans="4:5" x14ac:dyDescent="0.2">
      <c r="D37" s="4"/>
      <c r="E37" s="4"/>
    </row>
    <row r="38" spans="4:5" x14ac:dyDescent="0.2">
      <c r="D38" s="4"/>
      <c r="E38" s="4"/>
    </row>
    <row r="39" spans="4:5" x14ac:dyDescent="0.2">
      <c r="D39" s="4"/>
      <c r="E39" s="4"/>
    </row>
    <row r="40" spans="4:5" x14ac:dyDescent="0.2">
      <c r="D40" s="4"/>
      <c r="E40" s="4"/>
    </row>
    <row r="41" spans="4:5" x14ac:dyDescent="0.2">
      <c r="D41" s="4"/>
      <c r="E41" s="4"/>
    </row>
    <row r="42" spans="4:5" x14ac:dyDescent="0.2">
      <c r="D42" s="4"/>
      <c r="E42" s="4"/>
    </row>
    <row r="43" spans="4:5" x14ac:dyDescent="0.2">
      <c r="D43" s="4"/>
      <c r="E43" s="4"/>
    </row>
    <row r="44" spans="4:5" x14ac:dyDescent="0.2">
      <c r="D44" s="4"/>
      <c r="E44" s="4"/>
    </row>
    <row r="45" spans="4:5" x14ac:dyDescent="0.2">
      <c r="D45" s="4"/>
      <c r="E45" s="4"/>
    </row>
    <row r="46" spans="4:5" x14ac:dyDescent="0.2">
      <c r="D46" s="4"/>
      <c r="E46" s="4"/>
    </row>
    <row r="47" spans="4:5" x14ac:dyDescent="0.2">
      <c r="D47" s="4"/>
      <c r="E47" s="4"/>
    </row>
    <row r="48" spans="4:5" x14ac:dyDescent="0.2">
      <c r="D48" s="4"/>
      <c r="E48" s="4"/>
    </row>
    <row r="49" spans="4:5" x14ac:dyDescent="0.2">
      <c r="D49" s="4"/>
      <c r="E49" s="4"/>
    </row>
    <row r="50" spans="4:5" x14ac:dyDescent="0.2">
      <c r="D50" s="4"/>
      <c r="E50" s="4"/>
    </row>
    <row r="51" spans="4:5" x14ac:dyDescent="0.2">
      <c r="D51" s="4"/>
      <c r="E51" s="4"/>
    </row>
    <row r="52" spans="4:5" x14ac:dyDescent="0.2">
      <c r="D52" s="4"/>
      <c r="E52" s="4"/>
    </row>
    <row r="53" spans="4:5" x14ac:dyDescent="0.2">
      <c r="D53" s="4"/>
      <c r="E53" s="4"/>
    </row>
    <row r="54" spans="4:5" x14ac:dyDescent="0.2">
      <c r="D54" s="4"/>
      <c r="E54" s="4"/>
    </row>
    <row r="55" spans="4:5" x14ac:dyDescent="0.2">
      <c r="D55" s="4"/>
      <c r="E55" s="4"/>
    </row>
    <row r="56" spans="4:5" x14ac:dyDescent="0.2">
      <c r="D56" s="4"/>
      <c r="E56" s="4"/>
    </row>
    <row r="57" spans="4:5" x14ac:dyDescent="0.2">
      <c r="D57" s="4"/>
      <c r="E57" s="4"/>
    </row>
    <row r="58" spans="4:5" x14ac:dyDescent="0.2">
      <c r="D58" s="4"/>
      <c r="E58" s="4"/>
    </row>
    <row r="59" spans="4:5" x14ac:dyDescent="0.2">
      <c r="D59" s="4"/>
      <c r="E59" s="4"/>
    </row>
    <row r="60" spans="4:5" x14ac:dyDescent="0.2">
      <c r="D60" s="4"/>
      <c r="E60" s="4"/>
    </row>
    <row r="61" spans="4:5" x14ac:dyDescent="0.2">
      <c r="D61" s="4"/>
      <c r="E61" s="4"/>
    </row>
    <row r="62" spans="4:5" x14ac:dyDescent="0.2">
      <c r="D62" s="4"/>
      <c r="E62" s="4"/>
    </row>
    <row r="63" spans="4:5" x14ac:dyDescent="0.2">
      <c r="D63" s="4"/>
    </row>
    <row r="64" spans="4:5" x14ac:dyDescent="0.2">
      <c r="D64" s="4"/>
    </row>
  </sheetData>
  <phoneticPr fontId="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11B14-C976-4D48-B8AE-62C5A3B64D19}">
  <sheetPr codeName="Sheet8"/>
  <dimension ref="A1:I64"/>
  <sheetViews>
    <sheetView topLeftCell="A5" zoomScale="130" zoomScaleNormal="130" workbookViewId="0">
      <selection activeCell="G15" sqref="G15:H22"/>
    </sheetView>
  </sheetViews>
  <sheetFormatPr defaultRowHeight="15.75" x14ac:dyDescent="0.25"/>
  <cols>
    <col min="1" max="4" width="9.140625" style="1"/>
    <col min="5" max="5" width="10.28515625" style="1" bestFit="1" customWidth="1"/>
    <col min="6" max="7" width="9.140625" style="1"/>
    <col min="8" max="8" width="10.42578125" style="1" customWidth="1"/>
    <col min="9" max="9" width="10.42578125" customWidth="1"/>
    <col min="10" max="16384" width="9.140625" style="1"/>
  </cols>
  <sheetData>
    <row r="1" spans="1:8" ht="16.5" x14ac:dyDescent="0.3">
      <c r="A1" s="2" t="s">
        <v>0</v>
      </c>
      <c r="B1" s="2">
        <v>3.2404854546848711</v>
      </c>
      <c r="D1" s="1" t="s">
        <v>3</v>
      </c>
      <c r="E1" s="1" t="s">
        <v>10</v>
      </c>
      <c r="F1" s="1" t="s">
        <v>11</v>
      </c>
      <c r="G1" s="1" t="s">
        <v>12</v>
      </c>
      <c r="H1" s="1" t="s">
        <v>13</v>
      </c>
    </row>
    <row r="2" spans="1:8" ht="16.5" x14ac:dyDescent="0.3">
      <c r="A2" s="1" t="s">
        <v>6</v>
      </c>
      <c r="B2" s="1">
        <v>4.5</v>
      </c>
      <c r="D2" s="14">
        <v>45</v>
      </c>
      <c r="E2" s="4">
        <v>3.240504883886036</v>
      </c>
      <c r="F2" s="1">
        <v>131.75299999999999</v>
      </c>
      <c r="G2" s="1">
        <f>F2-0.46</f>
        <v>131.29299999999998</v>
      </c>
      <c r="H2" s="13">
        <f>G2+E2</f>
        <v>134.53350488388602</v>
      </c>
    </row>
    <row r="3" spans="1:8" ht="16.5" x14ac:dyDescent="0.3">
      <c r="A3" s="1" t="s">
        <v>1</v>
      </c>
      <c r="B3" s="1">
        <v>1.4E-2</v>
      </c>
      <c r="D3" s="14">
        <v>45</v>
      </c>
      <c r="E3" s="4">
        <v>3.240504883886036</v>
      </c>
      <c r="F3" s="1">
        <v>131.75299999999999</v>
      </c>
      <c r="G3" s="1">
        <f t="shared" ref="G3:G9" si="0">F3-0.46</f>
        <v>131.29299999999998</v>
      </c>
      <c r="H3" s="13">
        <f t="shared" ref="H3:H7" si="1">G3+E3</f>
        <v>134.53350488388602</v>
      </c>
    </row>
    <row r="4" spans="1:8" ht="16.5" x14ac:dyDescent="0.25">
      <c r="A4" s="1" t="s">
        <v>2</v>
      </c>
      <c r="B4" s="6">
        <f>1/800</f>
        <v>1.25E-3</v>
      </c>
      <c r="D4" s="14">
        <v>42</v>
      </c>
      <c r="E4" s="4">
        <v>3.0698390701212595</v>
      </c>
      <c r="F4" s="1">
        <v>131.75299999999999</v>
      </c>
      <c r="G4" s="1">
        <f t="shared" si="0"/>
        <v>131.29299999999998</v>
      </c>
      <c r="H4" s="9">
        <f t="shared" si="1"/>
        <v>134.36283907012123</v>
      </c>
    </row>
    <row r="5" spans="1:8" ht="16.5" x14ac:dyDescent="0.25">
      <c r="A5" s="1" t="s">
        <v>4</v>
      </c>
      <c r="B5" s="1">
        <v>0.3</v>
      </c>
      <c r="D5" s="14">
        <v>40</v>
      </c>
      <c r="E5" s="4">
        <v>2.9552911518413043</v>
      </c>
      <c r="F5" s="1">
        <v>131.75299999999999</v>
      </c>
      <c r="G5" s="1">
        <f t="shared" si="0"/>
        <v>131.29299999999998</v>
      </c>
      <c r="H5" s="9">
        <f t="shared" si="1"/>
        <v>134.24829115184127</v>
      </c>
    </row>
    <row r="6" spans="1:8" ht="16.5" x14ac:dyDescent="0.25">
      <c r="D6" s="14">
        <v>35</v>
      </c>
      <c r="E6" s="4">
        <v>2.6658222726399456</v>
      </c>
      <c r="F6" s="1">
        <v>131.75299999999999</v>
      </c>
      <c r="G6" s="1">
        <f t="shared" si="0"/>
        <v>131.29299999999998</v>
      </c>
      <c r="H6" s="9">
        <f t="shared" si="1"/>
        <v>133.95882227263994</v>
      </c>
    </row>
    <row r="7" spans="1:8" ht="16.5" x14ac:dyDescent="0.25">
      <c r="A7" s="1" t="s">
        <v>5</v>
      </c>
      <c r="B7" s="1">
        <f>(W*y-c_*c_)</f>
        <v>14.492184546081921</v>
      </c>
      <c r="D7" s="14">
        <v>45</v>
      </c>
      <c r="E7" s="18">
        <v>3.2404854546848711</v>
      </c>
      <c r="F7" s="16">
        <v>131.75299999999999</v>
      </c>
      <c r="G7" s="16">
        <f t="shared" si="0"/>
        <v>131.29299999999998</v>
      </c>
      <c r="H7" s="15">
        <f t="shared" si="1"/>
        <v>134.53348545468484</v>
      </c>
    </row>
    <row r="8" spans="1:8" ht="16.5" x14ac:dyDescent="0.25">
      <c r="A8" s="1" t="s">
        <v>7</v>
      </c>
      <c r="B8" s="1">
        <f>W-2*c_+2*(y-c_)+2*c_*SQRT(2)</f>
        <v>10.629499046793599</v>
      </c>
      <c r="D8" s="17">
        <v>45</v>
      </c>
      <c r="E8" s="18">
        <v>3.2404854546848711</v>
      </c>
      <c r="F8" s="16">
        <v>132.75299999999999</v>
      </c>
      <c r="G8" s="16">
        <f t="shared" si="0"/>
        <v>132.29299999999998</v>
      </c>
      <c r="H8" s="15">
        <f t="shared" ref="H8:H9" si="2">G8+E8</f>
        <v>135.53348545468484</v>
      </c>
    </row>
    <row r="9" spans="1:8" ht="16.5" x14ac:dyDescent="0.25">
      <c r="A9" s="1" t="s">
        <v>8</v>
      </c>
      <c r="B9" s="1">
        <f>A/P</f>
        <v>1.3633929955009032</v>
      </c>
      <c r="D9" s="17">
        <v>45</v>
      </c>
      <c r="E9" s="18">
        <v>3.2404854546848711</v>
      </c>
      <c r="F9" s="16">
        <v>133.75299999999999</v>
      </c>
      <c r="G9" s="16">
        <f t="shared" si="0"/>
        <v>133.29299999999998</v>
      </c>
      <c r="H9" s="15">
        <f t="shared" si="2"/>
        <v>136.53348545468484</v>
      </c>
    </row>
    <row r="10" spans="1:8" x14ac:dyDescent="0.25">
      <c r="A10" s="1" t="s">
        <v>9</v>
      </c>
      <c r="B10" s="1">
        <f>1/n*R_^(2/3)*Sf^(1/2)</f>
        <v>3.105091076432676</v>
      </c>
      <c r="D10" s="4"/>
      <c r="E10" s="4"/>
    </row>
    <row r="11" spans="1:8" ht="16.5" x14ac:dyDescent="0.3">
      <c r="A11" s="3" t="s">
        <v>3</v>
      </c>
      <c r="B11" s="3">
        <f>V*A</f>
        <v>44.999552912054504</v>
      </c>
      <c r="D11" s="4"/>
      <c r="E11" s="4"/>
    </row>
    <row r="12" spans="1:8" x14ac:dyDescent="0.25">
      <c r="D12" s="4"/>
      <c r="E12" s="4"/>
    </row>
    <row r="13" spans="1:8" x14ac:dyDescent="0.25">
      <c r="D13" s="4"/>
      <c r="E13" s="4"/>
    </row>
    <row r="14" spans="1:8" x14ac:dyDescent="0.25">
      <c r="C14" s="1" t="s">
        <v>15</v>
      </c>
      <c r="D14" s="4" t="s">
        <v>3</v>
      </c>
      <c r="E14" s="4"/>
    </row>
    <row r="15" spans="1:8" ht="16.5" x14ac:dyDescent="0.3">
      <c r="C15" s="1">
        <v>1</v>
      </c>
      <c r="D15" s="19">
        <v>45</v>
      </c>
      <c r="E15" s="19">
        <v>3.24</v>
      </c>
      <c r="F15" s="19">
        <v>134.53</v>
      </c>
      <c r="G15" s="19">
        <v>132.97999999999999</v>
      </c>
      <c r="H15" s="4">
        <f>F15-G15</f>
        <v>1.5500000000000114</v>
      </c>
    </row>
    <row r="16" spans="1:8" ht="16.5" x14ac:dyDescent="0.3">
      <c r="C16" s="1">
        <v>2</v>
      </c>
      <c r="D16" s="19">
        <v>45</v>
      </c>
      <c r="E16" s="19">
        <v>3.24</v>
      </c>
      <c r="F16" s="19">
        <v>134.53</v>
      </c>
      <c r="G16" s="19">
        <v>133.93</v>
      </c>
      <c r="H16" s="4">
        <f t="shared" ref="H16:H22" si="3">F16-G16</f>
        <v>0.59999999999999432</v>
      </c>
    </row>
    <row r="17" spans="3:8" ht="16.5" x14ac:dyDescent="0.3">
      <c r="C17" s="1">
        <v>3</v>
      </c>
      <c r="D17" s="19">
        <v>42</v>
      </c>
      <c r="E17" s="19">
        <v>3.07</v>
      </c>
      <c r="F17" s="19">
        <v>134.36000000000001</v>
      </c>
      <c r="G17" s="20">
        <v>133.81</v>
      </c>
      <c r="H17" s="4">
        <f t="shared" si="3"/>
        <v>0.55000000000001137</v>
      </c>
    </row>
    <row r="18" spans="3:8" ht="16.5" x14ac:dyDescent="0.3">
      <c r="C18" s="1">
        <v>4</v>
      </c>
      <c r="D18" s="19">
        <v>40</v>
      </c>
      <c r="E18" s="19">
        <v>2.96</v>
      </c>
      <c r="F18" s="19">
        <v>134.25</v>
      </c>
      <c r="G18" s="19">
        <v>133.74</v>
      </c>
      <c r="H18" s="4">
        <f t="shared" si="3"/>
        <v>0.50999999999999091</v>
      </c>
    </row>
    <row r="19" spans="3:8" ht="16.5" x14ac:dyDescent="0.3">
      <c r="C19" s="1">
        <v>5</v>
      </c>
      <c r="D19" s="19">
        <v>35</v>
      </c>
      <c r="E19" s="19">
        <v>2.67</v>
      </c>
      <c r="F19" s="19">
        <v>133.96</v>
      </c>
      <c r="G19" s="19">
        <v>133.56</v>
      </c>
      <c r="H19" s="4">
        <f t="shared" si="3"/>
        <v>0.40000000000000568</v>
      </c>
    </row>
    <row r="20" spans="3:8" ht="16.5" x14ac:dyDescent="0.3">
      <c r="C20" s="1">
        <v>6</v>
      </c>
      <c r="D20" s="19">
        <v>45</v>
      </c>
      <c r="E20" s="19">
        <v>3.24</v>
      </c>
      <c r="F20" s="19">
        <v>134.53</v>
      </c>
      <c r="G20" s="20">
        <v>133.82</v>
      </c>
      <c r="H20" s="4">
        <f t="shared" si="3"/>
        <v>0.71000000000000796</v>
      </c>
    </row>
    <row r="21" spans="3:8" ht="16.5" x14ac:dyDescent="0.3">
      <c r="C21" s="1">
        <v>7</v>
      </c>
      <c r="D21" s="19">
        <v>45</v>
      </c>
      <c r="E21" s="19">
        <v>3.24</v>
      </c>
      <c r="F21" s="19">
        <v>135.53</v>
      </c>
      <c r="G21" s="19">
        <v>133.75</v>
      </c>
      <c r="H21" s="4">
        <f t="shared" si="3"/>
        <v>1.7800000000000011</v>
      </c>
    </row>
    <row r="22" spans="3:8" ht="16.5" x14ac:dyDescent="0.3">
      <c r="C22" s="1">
        <v>8</v>
      </c>
      <c r="D22" s="19">
        <v>45</v>
      </c>
      <c r="E22" s="19">
        <v>3.24</v>
      </c>
      <c r="F22" s="19">
        <v>136.53</v>
      </c>
      <c r="G22" s="19">
        <v>133.57</v>
      </c>
      <c r="H22" s="4">
        <f t="shared" si="3"/>
        <v>2.960000000000008</v>
      </c>
    </row>
    <row r="23" spans="3:8" x14ac:dyDescent="0.25">
      <c r="D23" s="4"/>
      <c r="E23" s="4"/>
    </row>
    <row r="24" spans="3:8" x14ac:dyDescent="0.25">
      <c r="D24" s="4"/>
      <c r="E24" s="4"/>
    </row>
    <row r="25" spans="3:8" x14ac:dyDescent="0.25">
      <c r="D25" s="4"/>
      <c r="E25" s="4"/>
    </row>
    <row r="26" spans="3:8" x14ac:dyDescent="0.25">
      <c r="D26" s="4"/>
      <c r="E26" s="4"/>
    </row>
    <row r="27" spans="3:8" x14ac:dyDescent="0.25">
      <c r="D27" s="4"/>
      <c r="E27" s="4"/>
    </row>
    <row r="28" spans="3:8" x14ac:dyDescent="0.25">
      <c r="D28" s="4"/>
      <c r="E28" s="4"/>
    </row>
    <row r="29" spans="3:8" x14ac:dyDescent="0.25">
      <c r="D29" s="4"/>
      <c r="E29" s="4"/>
    </row>
    <row r="30" spans="3:8" x14ac:dyDescent="0.25">
      <c r="D30" s="4"/>
      <c r="E30" s="4"/>
    </row>
    <row r="31" spans="3:8" x14ac:dyDescent="0.25">
      <c r="D31" s="4"/>
      <c r="E31" s="4"/>
    </row>
    <row r="32" spans="3:8" x14ac:dyDescent="0.25">
      <c r="D32" s="4"/>
      <c r="E32" s="4"/>
    </row>
    <row r="33" spans="4:5" x14ac:dyDescent="0.25">
      <c r="D33" s="4"/>
      <c r="E33" s="4"/>
    </row>
    <row r="34" spans="4:5" x14ac:dyDescent="0.25">
      <c r="D34" s="4"/>
      <c r="E34" s="4"/>
    </row>
    <row r="35" spans="4:5" x14ac:dyDescent="0.25">
      <c r="D35" s="4"/>
      <c r="E35" s="4"/>
    </row>
    <row r="36" spans="4:5" x14ac:dyDescent="0.25">
      <c r="D36" s="4"/>
      <c r="E36" s="4"/>
    </row>
    <row r="37" spans="4:5" x14ac:dyDescent="0.25">
      <c r="D37" s="4"/>
      <c r="E37" s="4"/>
    </row>
    <row r="38" spans="4:5" x14ac:dyDescent="0.25">
      <c r="D38" s="4"/>
      <c r="E38" s="4"/>
    </row>
    <row r="39" spans="4:5" x14ac:dyDescent="0.25">
      <c r="D39" s="4"/>
      <c r="E39" s="4"/>
    </row>
    <row r="40" spans="4:5" x14ac:dyDescent="0.25">
      <c r="D40" s="4"/>
      <c r="E40" s="4"/>
    </row>
    <row r="41" spans="4:5" x14ac:dyDescent="0.25">
      <c r="D41" s="4"/>
      <c r="E41" s="4"/>
    </row>
    <row r="42" spans="4:5" x14ac:dyDescent="0.25">
      <c r="D42" s="4"/>
      <c r="E42" s="4"/>
    </row>
    <row r="43" spans="4:5" x14ac:dyDescent="0.25">
      <c r="D43" s="4"/>
      <c r="E43" s="4"/>
    </row>
    <row r="44" spans="4:5" x14ac:dyDescent="0.25">
      <c r="D44" s="4"/>
      <c r="E44" s="4"/>
    </row>
    <row r="45" spans="4:5" x14ac:dyDescent="0.25">
      <c r="D45" s="4"/>
      <c r="E45" s="4"/>
    </row>
    <row r="46" spans="4:5" x14ac:dyDescent="0.25">
      <c r="D46" s="4"/>
      <c r="E46" s="4"/>
    </row>
    <row r="47" spans="4:5" x14ac:dyDescent="0.25">
      <c r="D47" s="4"/>
      <c r="E47" s="4"/>
    </row>
    <row r="48" spans="4:5" x14ac:dyDescent="0.25">
      <c r="D48" s="4"/>
      <c r="E48" s="4"/>
    </row>
    <row r="49" spans="4:5" x14ac:dyDescent="0.25">
      <c r="D49" s="4"/>
      <c r="E49" s="4"/>
    </row>
    <row r="50" spans="4:5" x14ac:dyDescent="0.25">
      <c r="D50" s="4"/>
      <c r="E50" s="4"/>
    </row>
    <row r="51" spans="4:5" x14ac:dyDescent="0.25">
      <c r="D51" s="4"/>
      <c r="E51" s="4"/>
    </row>
    <row r="52" spans="4:5" x14ac:dyDescent="0.25">
      <c r="D52" s="4"/>
      <c r="E52" s="4"/>
    </row>
    <row r="53" spans="4:5" x14ac:dyDescent="0.25">
      <c r="D53" s="4"/>
      <c r="E53" s="4"/>
    </row>
    <row r="54" spans="4:5" x14ac:dyDescent="0.25">
      <c r="D54" s="4"/>
      <c r="E54" s="4"/>
    </row>
    <row r="55" spans="4:5" x14ac:dyDescent="0.25">
      <c r="D55" s="4"/>
      <c r="E55" s="4"/>
    </row>
    <row r="56" spans="4:5" x14ac:dyDescent="0.25">
      <c r="D56" s="4"/>
      <c r="E56" s="4"/>
    </row>
    <row r="57" spans="4:5" x14ac:dyDescent="0.25">
      <c r="D57" s="4"/>
      <c r="E57" s="4"/>
    </row>
    <row r="58" spans="4:5" x14ac:dyDescent="0.25">
      <c r="D58" s="4"/>
      <c r="E58" s="4"/>
    </row>
    <row r="59" spans="4:5" x14ac:dyDescent="0.25">
      <c r="D59" s="4"/>
      <c r="E59" s="4"/>
    </row>
    <row r="60" spans="4:5" x14ac:dyDescent="0.25">
      <c r="D60" s="4"/>
      <c r="E60" s="4"/>
    </row>
    <row r="61" spans="4:5" x14ac:dyDescent="0.25">
      <c r="D61" s="4"/>
      <c r="E61" s="4"/>
    </row>
    <row r="62" spans="4:5" x14ac:dyDescent="0.25">
      <c r="D62" s="4"/>
      <c r="E62" s="4"/>
    </row>
    <row r="63" spans="4:5" x14ac:dyDescent="0.25">
      <c r="D63" s="4"/>
    </row>
    <row r="64" spans="4:5" x14ac:dyDescent="0.25">
      <c r="D64" s="4"/>
    </row>
  </sheetData>
  <phoneticPr fontId="4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5"/>
  <sheetViews>
    <sheetView zoomScale="250" zoomScaleNormal="250" workbookViewId="0">
      <selection activeCell="C5" sqref="C5"/>
    </sheetView>
  </sheetViews>
  <sheetFormatPr defaultRowHeight="15.75" x14ac:dyDescent="0.25"/>
  <cols>
    <col min="3" max="3" width="11.42578125" bestFit="1" customWidth="1"/>
  </cols>
  <sheetData>
    <row r="1" spans="1:3" x14ac:dyDescent="0.25">
      <c r="A1">
        <v>129.69999999999999</v>
      </c>
      <c r="C1">
        <v>320</v>
      </c>
    </row>
    <row r="2" spans="1:3" x14ac:dyDescent="0.25">
      <c r="A2">
        <f>233*1/800</f>
        <v>0.29125000000000001</v>
      </c>
      <c r="C2">
        <v>233</v>
      </c>
    </row>
    <row r="3" spans="1:3" x14ac:dyDescent="0.25">
      <c r="A3">
        <f>A1+A2</f>
        <v>129.99124999999998</v>
      </c>
      <c r="C3">
        <f>C1-C2</f>
        <v>87</v>
      </c>
    </row>
    <row r="4" spans="1:3" x14ac:dyDescent="0.25">
      <c r="C4">
        <f>1/800</f>
        <v>1.25E-3</v>
      </c>
    </row>
    <row r="5" spans="1:3" x14ac:dyDescent="0.25">
      <c r="C5" s="21">
        <f>C3*C4</f>
        <v>0.10875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5.75" x14ac:dyDescent="0.25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60</vt:i4>
      </vt:variant>
    </vt:vector>
  </HeadingPairs>
  <TitlesOfParts>
    <vt:vector size="68" baseType="lpstr">
      <vt:lpstr>Q45</vt:lpstr>
      <vt:lpstr>Q22_5</vt:lpstr>
      <vt:lpstr>Batch_013</vt:lpstr>
      <vt:lpstr>Batch_014</vt:lpstr>
      <vt:lpstr>2CHL</vt:lpstr>
      <vt:lpstr>1CHL</vt:lpstr>
      <vt:lpstr>Sheet2</vt:lpstr>
      <vt:lpstr>Sheet3</vt:lpstr>
      <vt:lpstr>'1CHL'!A</vt:lpstr>
      <vt:lpstr>'2CHL'!A</vt:lpstr>
      <vt:lpstr>Batch_013!A</vt:lpstr>
      <vt:lpstr>Batch_014!A</vt:lpstr>
      <vt:lpstr>Q22_5!A</vt:lpstr>
      <vt:lpstr>A</vt:lpstr>
      <vt:lpstr>'1CHL'!c_</vt:lpstr>
      <vt:lpstr>'2CHL'!c_</vt:lpstr>
      <vt:lpstr>Batch_013!c_</vt:lpstr>
      <vt:lpstr>Batch_014!c_</vt:lpstr>
      <vt:lpstr>Q22_5!c_</vt:lpstr>
      <vt:lpstr>c_</vt:lpstr>
      <vt:lpstr>'1CHL'!n</vt:lpstr>
      <vt:lpstr>'2CHL'!n</vt:lpstr>
      <vt:lpstr>Batch_013!n</vt:lpstr>
      <vt:lpstr>Batch_014!n</vt:lpstr>
      <vt:lpstr>Q22_5!n</vt:lpstr>
      <vt:lpstr>n</vt:lpstr>
      <vt:lpstr>'1CHL'!P</vt:lpstr>
      <vt:lpstr>'2CHL'!P</vt:lpstr>
      <vt:lpstr>Batch_013!P</vt:lpstr>
      <vt:lpstr>Batch_014!P</vt:lpstr>
      <vt:lpstr>Q22_5!P</vt:lpstr>
      <vt:lpstr>P</vt:lpstr>
      <vt:lpstr>'1CHL'!Q</vt:lpstr>
      <vt:lpstr>'2CHL'!Q</vt:lpstr>
      <vt:lpstr>Batch_013!Q</vt:lpstr>
      <vt:lpstr>Batch_014!Q</vt:lpstr>
      <vt:lpstr>Q22_5!Q</vt:lpstr>
      <vt:lpstr>Q</vt:lpstr>
      <vt:lpstr>'1CHL'!R_</vt:lpstr>
      <vt:lpstr>'2CHL'!R_</vt:lpstr>
      <vt:lpstr>Batch_013!R_</vt:lpstr>
      <vt:lpstr>Batch_014!R_</vt:lpstr>
      <vt:lpstr>Q22_5!R_</vt:lpstr>
      <vt:lpstr>R_</vt:lpstr>
      <vt:lpstr>'1CHL'!Sf</vt:lpstr>
      <vt:lpstr>'2CHL'!Sf</vt:lpstr>
      <vt:lpstr>Batch_013!Sf</vt:lpstr>
      <vt:lpstr>Batch_014!Sf</vt:lpstr>
      <vt:lpstr>Q22_5!Sf</vt:lpstr>
      <vt:lpstr>Sf</vt:lpstr>
      <vt:lpstr>'1CHL'!V</vt:lpstr>
      <vt:lpstr>'2CHL'!V</vt:lpstr>
      <vt:lpstr>Batch_013!V</vt:lpstr>
      <vt:lpstr>Batch_014!V</vt:lpstr>
      <vt:lpstr>Q22_5!V</vt:lpstr>
      <vt:lpstr>V</vt:lpstr>
      <vt:lpstr>'1CHL'!W</vt:lpstr>
      <vt:lpstr>'2CHL'!W</vt:lpstr>
      <vt:lpstr>Batch_013!W</vt:lpstr>
      <vt:lpstr>Batch_014!W</vt:lpstr>
      <vt:lpstr>Q22_5!W</vt:lpstr>
      <vt:lpstr>W</vt:lpstr>
      <vt:lpstr>'1CHL'!y</vt:lpstr>
      <vt:lpstr>'2CHL'!y</vt:lpstr>
      <vt:lpstr>Batch_013!y</vt:lpstr>
      <vt:lpstr>Batch_014!y</vt:lpstr>
      <vt:lpstr>Q22_5!y</vt:lpstr>
      <vt:lpstr>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Windows User</cp:lastModifiedBy>
  <dcterms:created xsi:type="dcterms:W3CDTF">2006-09-16T00:00:00Z</dcterms:created>
  <dcterms:modified xsi:type="dcterms:W3CDTF">2020-02-11T18:22:59Z</dcterms:modified>
</cp:coreProperties>
</file>