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\Desktop\"/>
    </mc:Choice>
  </mc:AlternateContent>
  <xr:revisionPtr revIDLastSave="0" documentId="8_{320F824E-7750-4B25-81CB-A4C2C51ACE4B}" xr6:coauthVersionLast="43" xr6:coauthVersionMax="43" xr10:uidLastSave="{00000000-0000-0000-0000-000000000000}"/>
  <bookViews>
    <workbookView xWindow="9060" yWindow="3300" windowWidth="15045" windowHeight="11385" tabRatio="843" xr2:uid="{00000000-000D-0000-FFFF-FFFF00000000}"/>
  </bookViews>
  <sheets>
    <sheet name="49.5" sheetId="19" r:id="rId1"/>
    <sheet name="45" sheetId="1" r:id="rId2"/>
    <sheet name="44" sheetId="2" r:id="rId3"/>
    <sheet name="43" sheetId="3" r:id="rId4"/>
    <sheet name="42" sheetId="4" r:id="rId5"/>
    <sheet name="41" sheetId="5" r:id="rId6"/>
    <sheet name="40" sheetId="6" r:id="rId7"/>
    <sheet name="39" sheetId="7" r:id="rId8"/>
    <sheet name="38" sheetId="8" r:id="rId9"/>
    <sheet name="37" sheetId="9" r:id="rId10"/>
    <sheet name="36" sheetId="10" r:id="rId11"/>
    <sheet name="35" sheetId="11" r:id="rId12"/>
    <sheet name="34" sheetId="12" r:id="rId13"/>
    <sheet name="33" sheetId="13" r:id="rId14"/>
    <sheet name="32" sheetId="14" r:id="rId15"/>
    <sheet name="31" sheetId="15" r:id="rId16"/>
    <sheet name="30" sheetId="16" r:id="rId17"/>
    <sheet name="25" sheetId="17" r:id="rId18"/>
    <sheet name="20" sheetId="18" r:id="rId19"/>
  </sheets>
  <definedNames>
    <definedName name="C_" localSheetId="18">'20'!$B$4</definedName>
    <definedName name="C_" localSheetId="17">'25'!$B$4</definedName>
    <definedName name="C_" localSheetId="16">'30'!$B$4</definedName>
    <definedName name="C_" localSheetId="15">'31'!$B$4</definedName>
    <definedName name="C_" localSheetId="14">'32'!$B$4</definedName>
    <definedName name="C_" localSheetId="13">'33'!$B$4</definedName>
    <definedName name="C_" localSheetId="12">'34'!$B$4</definedName>
    <definedName name="C_" localSheetId="11">'35'!$B$4</definedName>
    <definedName name="C_" localSheetId="10">'36'!$B$4</definedName>
    <definedName name="C_" localSheetId="9">'37'!$B$4</definedName>
    <definedName name="C_" localSheetId="8">'38'!$B$4</definedName>
    <definedName name="C_" localSheetId="7">'39'!$B$4</definedName>
    <definedName name="C_" localSheetId="6">'40'!$B$4</definedName>
    <definedName name="C_" localSheetId="5">'41'!$B$4</definedName>
    <definedName name="C_" localSheetId="4">'42'!$B$4</definedName>
    <definedName name="C_" localSheetId="3">'43'!$B$4</definedName>
    <definedName name="C_" localSheetId="2">'44'!$B$4</definedName>
    <definedName name="C_" localSheetId="0">'49.5'!$B$4</definedName>
    <definedName name="C_">'45'!$B$4</definedName>
    <definedName name="H" localSheetId="18">'20'!$B$1</definedName>
    <definedName name="H" localSheetId="17">'25'!$B$1</definedName>
    <definedName name="H" localSheetId="16">'30'!$B$1</definedName>
    <definedName name="H" localSheetId="15">'31'!$B$1</definedName>
    <definedName name="H" localSheetId="14">'32'!$B$1</definedName>
    <definedName name="H" localSheetId="13">'33'!$B$1</definedName>
    <definedName name="H" localSheetId="12">'34'!$B$1</definedName>
    <definedName name="H" localSheetId="11">'35'!$B$1</definedName>
    <definedName name="H" localSheetId="10">'36'!$B$1</definedName>
    <definedName name="H" localSheetId="9">'37'!$B$1</definedName>
    <definedName name="H" localSheetId="8">'38'!$B$1</definedName>
    <definedName name="H" localSheetId="7">'39'!$B$1</definedName>
    <definedName name="H" localSheetId="6">'40'!$B$1</definedName>
    <definedName name="H" localSheetId="5">'41'!$B$1</definedName>
    <definedName name="H" localSheetId="4">'42'!$B$1</definedName>
    <definedName name="H" localSheetId="3">'43'!$B$1</definedName>
    <definedName name="H" localSheetId="2">'44'!$B$1</definedName>
    <definedName name="H" localSheetId="0">'49.5'!$B$1</definedName>
    <definedName name="H">'45'!$B$1</definedName>
    <definedName name="L" localSheetId="18">'20'!$B$2</definedName>
    <definedName name="L" localSheetId="17">'25'!$B$2</definedName>
    <definedName name="L" localSheetId="16">'30'!$B$2</definedName>
    <definedName name="L" localSheetId="15">'31'!$B$2</definedName>
    <definedName name="L" localSheetId="14">'32'!$B$2</definedName>
    <definedName name="L" localSheetId="13">'33'!$B$2</definedName>
    <definedName name="L" localSheetId="12">'34'!$B$2</definedName>
    <definedName name="L" localSheetId="11">'35'!$B$2</definedName>
    <definedName name="L" localSheetId="10">'36'!$B$2</definedName>
    <definedName name="L" localSheetId="9">'37'!$B$2</definedName>
    <definedName name="L" localSheetId="8">'38'!$B$2</definedName>
    <definedName name="L" localSheetId="7">'39'!$B$2</definedName>
    <definedName name="L" localSheetId="6">'40'!$B$2</definedName>
    <definedName name="L" localSheetId="5">'41'!$B$2</definedName>
    <definedName name="L" localSheetId="4">'42'!$B$2</definedName>
    <definedName name="L" localSheetId="3">'43'!$B$2</definedName>
    <definedName name="L" localSheetId="2">'44'!$B$2</definedName>
    <definedName name="L" localSheetId="0">'49.5'!$B$2</definedName>
    <definedName name="L">'45'!$B$2</definedName>
    <definedName name="Q" localSheetId="18">'20'!$B$5</definedName>
    <definedName name="Q" localSheetId="17">'25'!$B$5</definedName>
    <definedName name="Q" localSheetId="16">'30'!$B$5</definedName>
    <definedName name="Q" localSheetId="15">'31'!$B$5</definedName>
    <definedName name="Q" localSheetId="14">'32'!$B$5</definedName>
    <definedName name="Q" localSheetId="13">'33'!$B$5</definedName>
    <definedName name="Q" localSheetId="12">'34'!$B$5</definedName>
    <definedName name="Q" localSheetId="11">'35'!$B$5</definedName>
    <definedName name="Q" localSheetId="10">'36'!$B$5</definedName>
    <definedName name="Q" localSheetId="9">'37'!$B$5</definedName>
    <definedName name="Q" localSheetId="8">'38'!$B$5</definedName>
    <definedName name="Q" localSheetId="7">'39'!$B$5</definedName>
    <definedName name="Q" localSheetId="6">'40'!$B$5</definedName>
    <definedName name="Q" localSheetId="5">'41'!$B$5</definedName>
    <definedName name="Q" localSheetId="4">'42'!$B$5</definedName>
    <definedName name="Q" localSheetId="3">'43'!$B$5</definedName>
    <definedName name="Q" localSheetId="2">'44'!$B$5</definedName>
    <definedName name="Q" localSheetId="0">'49.5'!$B$5</definedName>
    <definedName name="Q">'45'!$B$5</definedName>
    <definedName name="solver_adj" localSheetId="18" hidden="1">'20'!$B$1</definedName>
    <definedName name="solver_adj" localSheetId="17" hidden="1">'25'!$B$1</definedName>
    <definedName name="solver_adj" localSheetId="16" hidden="1">'30'!$B$1</definedName>
    <definedName name="solver_adj" localSheetId="15" hidden="1">'31'!$B$1</definedName>
    <definedName name="solver_adj" localSheetId="14" hidden="1">'32'!$B$1</definedName>
    <definedName name="solver_adj" localSheetId="13" hidden="1">'33'!$B$1</definedName>
    <definedName name="solver_adj" localSheetId="12" hidden="1">'34'!$B$1</definedName>
    <definedName name="solver_adj" localSheetId="11" hidden="1">'35'!$B$1</definedName>
    <definedName name="solver_adj" localSheetId="10" hidden="1">'36'!$B$1</definedName>
    <definedName name="solver_adj" localSheetId="9" hidden="1">'37'!$B$1</definedName>
    <definedName name="solver_adj" localSheetId="8" hidden="1">'38'!$B$1</definedName>
    <definedName name="solver_adj" localSheetId="7" hidden="1">'39'!$B$1</definedName>
    <definedName name="solver_adj" localSheetId="6" hidden="1">'40'!$B$1</definedName>
    <definedName name="solver_adj" localSheetId="5" hidden="1">'41'!$B$1</definedName>
    <definedName name="solver_adj" localSheetId="4" hidden="1">'42'!$B$1</definedName>
    <definedName name="solver_adj" localSheetId="3" hidden="1">'43'!$B$1</definedName>
    <definedName name="solver_adj" localSheetId="2" hidden="1">'44'!$B$1</definedName>
    <definedName name="solver_adj" localSheetId="1" hidden="1">'45'!$B$1</definedName>
    <definedName name="solver_adj" localSheetId="0" hidden="1">'49.5'!$B$1</definedName>
    <definedName name="solver_cvg" localSheetId="18" hidden="1">0.0001</definedName>
    <definedName name="solver_cvg" localSheetId="17" hidden="1">0.0001</definedName>
    <definedName name="solver_cvg" localSheetId="16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10" hidden="1">0.0001</definedName>
    <definedName name="solver_cvg" localSheetId="9" hidden="1">0.0001</definedName>
    <definedName name="solver_cvg" localSheetId="8" hidden="1">0.0001</definedName>
    <definedName name="solver_cvg" localSheetId="7" hidden="1">0.0001</definedName>
    <definedName name="solver_cvg" localSheetId="6" hidden="1">0.0001</definedName>
    <definedName name="solver_cvg" localSheetId="5" hidden="1">0.0001</definedName>
    <definedName name="solver_cvg" localSheetId="4" hidden="1">0.0001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cvg" localSheetId="0" hidden="1">0.0001</definedName>
    <definedName name="solver_drv" localSheetId="18" hidden="1">2</definedName>
    <definedName name="solver_drv" localSheetId="17" hidden="1">2</definedName>
    <definedName name="solver_drv" localSheetId="16" hidden="1">2</definedName>
    <definedName name="solver_drv" localSheetId="15" hidden="1">2</definedName>
    <definedName name="solver_drv" localSheetId="14" hidden="1">2</definedName>
    <definedName name="solver_drv" localSheetId="13" hidden="1">2</definedName>
    <definedName name="solver_drv" localSheetId="12" hidden="1">2</definedName>
    <definedName name="solver_drv" localSheetId="11" hidden="1">2</definedName>
    <definedName name="solver_drv" localSheetId="10" hidden="1">2</definedName>
    <definedName name="solver_drv" localSheetId="9" hidden="1">2</definedName>
    <definedName name="solver_drv" localSheetId="8" hidden="1">2</definedName>
    <definedName name="solver_drv" localSheetId="7" hidden="1">2</definedName>
    <definedName name="solver_drv" localSheetId="6" hidden="1">2</definedName>
    <definedName name="solver_drv" localSheetId="5" hidden="1">2</definedName>
    <definedName name="solver_drv" localSheetId="4" hidden="1">2</definedName>
    <definedName name="solver_drv" localSheetId="3" hidden="1">2</definedName>
    <definedName name="solver_drv" localSheetId="2" hidden="1">2</definedName>
    <definedName name="solver_drv" localSheetId="1" hidden="1">2</definedName>
    <definedName name="solver_drv" localSheetId="0" hidden="1">2</definedName>
    <definedName name="solver_eng" localSheetId="18" hidden="1">1</definedName>
    <definedName name="solver_eng" localSheetId="17" hidden="1">1</definedName>
    <definedName name="solver_eng" localSheetId="16" hidden="1">1</definedName>
    <definedName name="solver_eng" localSheetId="15" hidden="1">1</definedName>
    <definedName name="solver_eng" localSheetId="14" hidden="1">1</definedName>
    <definedName name="solver_eng" localSheetId="13" hidden="1">1</definedName>
    <definedName name="solver_eng" localSheetId="12" hidden="1">1</definedName>
    <definedName name="solver_eng" localSheetId="11" hidden="1">1</definedName>
    <definedName name="solver_eng" localSheetId="10" hidden="1">1</definedName>
    <definedName name="solver_eng" localSheetId="9" hidden="1">1</definedName>
    <definedName name="solver_eng" localSheetId="8" hidden="1">1</definedName>
    <definedName name="solver_eng" localSheetId="7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st" localSheetId="18" hidden="1">1</definedName>
    <definedName name="solver_est" localSheetId="17" hidden="1">1</definedName>
    <definedName name="solver_est" localSheetId="16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10" hidden="1">1</definedName>
    <definedName name="solver_est" localSheetId="9" hidden="1">1</definedName>
    <definedName name="solver_est" localSheetId="8" hidden="1">1</definedName>
    <definedName name="solver_est" localSheetId="7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est" localSheetId="0" hidden="1">1</definedName>
    <definedName name="solver_itr" localSheetId="18" hidden="1">2147483647</definedName>
    <definedName name="solver_itr" localSheetId="17" hidden="1">2147483647</definedName>
    <definedName name="solver_itr" localSheetId="16" hidden="1">2147483647</definedName>
    <definedName name="solver_itr" localSheetId="15" hidden="1">2147483647</definedName>
    <definedName name="solver_itr" localSheetId="14" hidden="1">2147483647</definedName>
    <definedName name="solver_itr" localSheetId="13" hidden="1">2147483647</definedName>
    <definedName name="solver_itr" localSheetId="12" hidden="1">2147483647</definedName>
    <definedName name="solver_itr" localSheetId="11" hidden="1">2147483647</definedName>
    <definedName name="solver_itr" localSheetId="10" hidden="1">2147483647</definedName>
    <definedName name="solver_itr" localSheetId="9" hidden="1">2147483647</definedName>
    <definedName name="solver_itr" localSheetId="8" hidden="1">2147483647</definedName>
    <definedName name="solver_itr" localSheetId="7" hidden="1">2147483647</definedName>
    <definedName name="solver_itr" localSheetId="6" hidden="1">2147483647</definedName>
    <definedName name="solver_itr" localSheetId="5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itr" localSheetId="0" hidden="1">2147483647</definedName>
    <definedName name="solver_lhs1" localSheetId="18" hidden="1">'20'!$B$1</definedName>
    <definedName name="solver_lhs1" localSheetId="17" hidden="1">'25'!$B$1</definedName>
    <definedName name="solver_lhs1" localSheetId="16" hidden="1">'30'!$B$1</definedName>
    <definedName name="solver_lhs1" localSheetId="15" hidden="1">'31'!$B$1</definedName>
    <definedName name="solver_lhs1" localSheetId="14" hidden="1">'32'!$B$1</definedName>
    <definedName name="solver_lhs1" localSheetId="13" hidden="1">'33'!$B$1</definedName>
    <definedName name="solver_lhs1" localSheetId="12" hidden="1">'34'!$B$1</definedName>
    <definedName name="solver_lhs1" localSheetId="11" hidden="1">'35'!$B$1</definedName>
    <definedName name="solver_lhs1" localSheetId="10" hidden="1">'36'!$B$1</definedName>
    <definedName name="solver_lhs1" localSheetId="9" hidden="1">'37'!$B$1</definedName>
    <definedName name="solver_lhs1" localSheetId="8" hidden="1">'38'!$B$1</definedName>
    <definedName name="solver_lhs1" localSheetId="7" hidden="1">'39'!$B$1</definedName>
    <definedName name="solver_lhs1" localSheetId="6" hidden="1">'40'!$B$1</definedName>
    <definedName name="solver_lhs1" localSheetId="5" hidden="1">'41'!$B$1</definedName>
    <definedName name="solver_lhs1" localSheetId="4" hidden="1">'42'!$B$1</definedName>
    <definedName name="solver_lhs1" localSheetId="3" hidden="1">'43'!$B$1</definedName>
    <definedName name="solver_lhs1" localSheetId="2" hidden="1">'44'!$B$1</definedName>
    <definedName name="solver_lhs1" localSheetId="1" hidden="1">'45'!$B$1</definedName>
    <definedName name="solver_lhs1" localSheetId="0" hidden="1">'49.5'!$B$1</definedName>
    <definedName name="solver_mip" localSheetId="18" hidden="1">2147483647</definedName>
    <definedName name="solver_mip" localSheetId="17" hidden="1">2147483647</definedName>
    <definedName name="solver_mip" localSheetId="16" hidden="1">2147483647</definedName>
    <definedName name="solver_mip" localSheetId="15" hidden="1">2147483647</definedName>
    <definedName name="solver_mip" localSheetId="14" hidden="1">2147483647</definedName>
    <definedName name="solver_mip" localSheetId="13" hidden="1">2147483647</definedName>
    <definedName name="solver_mip" localSheetId="12" hidden="1">2147483647</definedName>
    <definedName name="solver_mip" localSheetId="11" hidden="1">2147483647</definedName>
    <definedName name="solver_mip" localSheetId="10" hidden="1">2147483647</definedName>
    <definedName name="solver_mip" localSheetId="9" hidden="1">2147483647</definedName>
    <definedName name="solver_mip" localSheetId="8" hidden="1">2147483647</definedName>
    <definedName name="solver_mip" localSheetId="7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ip" localSheetId="0" hidden="1">2147483647</definedName>
    <definedName name="solver_mni" localSheetId="18" hidden="1">30</definedName>
    <definedName name="solver_mni" localSheetId="17" hidden="1">30</definedName>
    <definedName name="solver_mni" localSheetId="16" hidden="1">30</definedName>
    <definedName name="solver_mni" localSheetId="15" hidden="1">30</definedName>
    <definedName name="solver_mni" localSheetId="14" hidden="1">30</definedName>
    <definedName name="solver_mni" localSheetId="13" hidden="1">30</definedName>
    <definedName name="solver_mni" localSheetId="12" hidden="1">30</definedName>
    <definedName name="solver_mni" localSheetId="11" hidden="1">30</definedName>
    <definedName name="solver_mni" localSheetId="10" hidden="1">30</definedName>
    <definedName name="solver_mni" localSheetId="9" hidden="1">30</definedName>
    <definedName name="solver_mni" localSheetId="8" hidden="1">30</definedName>
    <definedName name="solver_mni" localSheetId="7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rt" localSheetId="18" hidden="1">0.075</definedName>
    <definedName name="solver_mrt" localSheetId="17" hidden="1">0.075</definedName>
    <definedName name="solver_mrt" localSheetId="16" hidden="1">0.075</definedName>
    <definedName name="solver_mrt" localSheetId="15" hidden="1">0.075</definedName>
    <definedName name="solver_mrt" localSheetId="14" hidden="1">0.075</definedName>
    <definedName name="solver_mrt" localSheetId="13" hidden="1">0.075</definedName>
    <definedName name="solver_mrt" localSheetId="12" hidden="1">0.075</definedName>
    <definedName name="solver_mrt" localSheetId="11" hidden="1">0.075</definedName>
    <definedName name="solver_mrt" localSheetId="10" hidden="1">0.075</definedName>
    <definedName name="solver_mrt" localSheetId="9" hidden="1">0.075</definedName>
    <definedName name="solver_mrt" localSheetId="8" hidden="1">0.075</definedName>
    <definedName name="solver_mrt" localSheetId="7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18" hidden="1">2</definedName>
    <definedName name="solver_msl" localSheetId="17" hidden="1">2</definedName>
    <definedName name="solver_msl" localSheetId="16" hidden="1">2</definedName>
    <definedName name="solver_msl" localSheetId="15" hidden="1">2</definedName>
    <definedName name="solver_msl" localSheetId="14" hidden="1">2</definedName>
    <definedName name="solver_msl" localSheetId="13" hidden="1">2</definedName>
    <definedName name="solver_msl" localSheetId="12" hidden="1">2</definedName>
    <definedName name="solver_msl" localSheetId="11" hidden="1">2</definedName>
    <definedName name="solver_msl" localSheetId="10" hidden="1">2</definedName>
    <definedName name="solver_msl" localSheetId="9" hidden="1">2</definedName>
    <definedName name="solver_msl" localSheetId="8" hidden="1">2</definedName>
    <definedName name="solver_msl" localSheetId="7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msl" localSheetId="0" hidden="1">2</definedName>
    <definedName name="solver_neg" localSheetId="18" hidden="1">1</definedName>
    <definedName name="solver_neg" localSheetId="17" hidden="1">1</definedName>
    <definedName name="solver_neg" localSheetId="16" hidden="1">1</definedName>
    <definedName name="solver_neg" localSheetId="15" hidden="1">1</definedName>
    <definedName name="solver_neg" localSheetId="14" hidden="1">1</definedName>
    <definedName name="solver_neg" localSheetId="13" hidden="1">1</definedName>
    <definedName name="solver_neg" localSheetId="12" hidden="1">1</definedName>
    <definedName name="solver_neg" localSheetId="11" hidden="1">1</definedName>
    <definedName name="solver_neg" localSheetId="10" hidden="1">1</definedName>
    <definedName name="solver_neg" localSheetId="9" hidden="1">1</definedName>
    <definedName name="solver_neg" localSheetId="8" hidden="1">1</definedName>
    <definedName name="solver_neg" localSheetId="7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18" hidden="1">2147483647</definedName>
    <definedName name="solver_nod" localSheetId="17" hidden="1">2147483647</definedName>
    <definedName name="solver_nod" localSheetId="16" hidden="1">2147483647</definedName>
    <definedName name="solver_nod" localSheetId="15" hidden="1">2147483647</definedName>
    <definedName name="solver_nod" localSheetId="14" hidden="1">2147483647</definedName>
    <definedName name="solver_nod" localSheetId="13" hidden="1">2147483647</definedName>
    <definedName name="solver_nod" localSheetId="12" hidden="1">2147483647</definedName>
    <definedName name="solver_nod" localSheetId="11" hidden="1">2147483647</definedName>
    <definedName name="solver_nod" localSheetId="10" hidden="1">2147483647</definedName>
    <definedName name="solver_nod" localSheetId="9" hidden="1">2147483647</definedName>
    <definedName name="solver_nod" localSheetId="8" hidden="1">2147483647</definedName>
    <definedName name="solver_nod" localSheetId="7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od" localSheetId="0" hidden="1">2147483647</definedName>
    <definedName name="solver_num" localSheetId="18" hidden="1">1</definedName>
    <definedName name="solver_num" localSheetId="17" hidden="1">1</definedName>
    <definedName name="solver_num" localSheetId="16" hidden="1">1</definedName>
    <definedName name="solver_num" localSheetId="15" hidden="1">1</definedName>
    <definedName name="solver_num" localSheetId="14" hidden="1">1</definedName>
    <definedName name="solver_num" localSheetId="13" hidden="1">1</definedName>
    <definedName name="solver_num" localSheetId="12" hidden="1">1</definedName>
    <definedName name="solver_num" localSheetId="11" hidden="1">1</definedName>
    <definedName name="solver_num" localSheetId="10" hidden="1">1</definedName>
    <definedName name="solver_num" localSheetId="9" hidden="1">1</definedName>
    <definedName name="solver_num" localSheetId="8" hidden="1">1</definedName>
    <definedName name="solver_num" localSheetId="7" hidden="1">1</definedName>
    <definedName name="solver_num" localSheetId="6" hidden="1">1</definedName>
    <definedName name="solver_num" localSheetId="5" hidden="1">1</definedName>
    <definedName name="solver_num" localSheetId="4" hidden="1">1</definedName>
    <definedName name="solver_num" localSheetId="3" hidden="1">1</definedName>
    <definedName name="solver_num" localSheetId="2" hidden="1">1</definedName>
    <definedName name="solver_num" localSheetId="1" hidden="1">1</definedName>
    <definedName name="solver_num" localSheetId="0" hidden="1">1</definedName>
    <definedName name="solver_nwt" localSheetId="18" hidden="1">1</definedName>
    <definedName name="solver_nwt" localSheetId="17" hidden="1">1</definedName>
    <definedName name="solver_nwt" localSheetId="16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10" hidden="1">1</definedName>
    <definedName name="solver_nwt" localSheetId="9" hidden="1">1</definedName>
    <definedName name="solver_nwt" localSheetId="8" hidden="1">1</definedName>
    <definedName name="solver_nwt" localSheetId="7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nwt" localSheetId="0" hidden="1">1</definedName>
    <definedName name="solver_opt" localSheetId="18" hidden="1">'20'!$D$5</definedName>
    <definedName name="solver_opt" localSheetId="17" hidden="1">'25'!$D$5</definedName>
    <definedName name="solver_opt" localSheetId="16" hidden="1">'30'!$D$5</definedName>
    <definedName name="solver_opt" localSheetId="15" hidden="1">'31'!$D$5</definedName>
    <definedName name="solver_opt" localSheetId="14" hidden="1">'32'!$D$5</definedName>
    <definedName name="solver_opt" localSheetId="13" hidden="1">'33'!$D$5</definedName>
    <definedName name="solver_opt" localSheetId="12" hidden="1">'34'!$D$5</definedName>
    <definedName name="solver_opt" localSheetId="11" hidden="1">'35'!$D$5</definedName>
    <definedName name="solver_opt" localSheetId="10" hidden="1">'36'!$D$5</definedName>
    <definedName name="solver_opt" localSheetId="9" hidden="1">'37'!$D$5</definedName>
    <definedName name="solver_opt" localSheetId="8" hidden="1">'38'!$D$5</definedName>
    <definedName name="solver_opt" localSheetId="7" hidden="1">'39'!$D$5</definedName>
    <definedName name="solver_opt" localSheetId="6" hidden="1">'40'!$D$5</definedName>
    <definedName name="solver_opt" localSheetId="5" hidden="1">'41'!$D$5</definedName>
    <definedName name="solver_opt" localSheetId="4" hidden="1">'42'!$D$5</definedName>
    <definedName name="solver_opt" localSheetId="3" hidden="1">'43'!$D$5</definedName>
    <definedName name="solver_opt" localSheetId="2" hidden="1">'44'!$D$5</definedName>
    <definedName name="solver_opt" localSheetId="1" hidden="1">'45'!$D$5</definedName>
    <definedName name="solver_opt" localSheetId="0" hidden="1">'49.5'!$D$5</definedName>
    <definedName name="solver_pre" localSheetId="18" hidden="1">0.000001</definedName>
    <definedName name="solver_pre" localSheetId="17" hidden="1">0.000001</definedName>
    <definedName name="solver_pre" localSheetId="16" hidden="1">0.000001</definedName>
    <definedName name="solver_pre" localSheetId="15" hidden="1">0.000001</definedName>
    <definedName name="solver_pre" localSheetId="14" hidden="1">0.000001</definedName>
    <definedName name="solver_pre" localSheetId="13" hidden="1">0.000001</definedName>
    <definedName name="solver_pre" localSheetId="12" hidden="1">0.000001</definedName>
    <definedName name="solver_pre" localSheetId="11" hidden="1">0.000001</definedName>
    <definedName name="solver_pre" localSheetId="10" hidden="1">0.000001</definedName>
    <definedName name="solver_pre" localSheetId="9" hidden="1">0.000001</definedName>
    <definedName name="solver_pre" localSheetId="8" hidden="1">0.000001</definedName>
    <definedName name="solver_pre" localSheetId="7" hidden="1">0.000001</definedName>
    <definedName name="solver_pre" localSheetId="6" hidden="1">0.000001</definedName>
    <definedName name="solver_pre" localSheetId="5" hidden="1">0.000001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pre" localSheetId="0" hidden="1">0.001</definedName>
    <definedName name="solver_rbv" localSheetId="18" hidden="1">2</definedName>
    <definedName name="solver_rbv" localSheetId="17" hidden="1">2</definedName>
    <definedName name="solver_rbv" localSheetId="16" hidden="1">2</definedName>
    <definedName name="solver_rbv" localSheetId="15" hidden="1">2</definedName>
    <definedName name="solver_rbv" localSheetId="14" hidden="1">2</definedName>
    <definedName name="solver_rbv" localSheetId="13" hidden="1">2</definedName>
    <definedName name="solver_rbv" localSheetId="12" hidden="1">2</definedName>
    <definedName name="solver_rbv" localSheetId="11" hidden="1">2</definedName>
    <definedName name="solver_rbv" localSheetId="10" hidden="1">2</definedName>
    <definedName name="solver_rbv" localSheetId="9" hidden="1">2</definedName>
    <definedName name="solver_rbv" localSheetId="8" hidden="1">2</definedName>
    <definedName name="solver_rbv" localSheetId="7" hidden="1">2</definedName>
    <definedName name="solver_rbv" localSheetId="6" hidden="1">2</definedName>
    <definedName name="solver_rbv" localSheetId="5" hidden="1">2</definedName>
    <definedName name="solver_rbv" localSheetId="4" hidden="1">2</definedName>
    <definedName name="solver_rbv" localSheetId="3" hidden="1">2</definedName>
    <definedName name="solver_rbv" localSheetId="2" hidden="1">2</definedName>
    <definedName name="solver_rbv" localSheetId="1" hidden="1">2</definedName>
    <definedName name="solver_rbv" localSheetId="0" hidden="1">2</definedName>
    <definedName name="solver_rel1" localSheetId="18" hidden="1">3</definedName>
    <definedName name="solver_rel1" localSheetId="17" hidden="1">3</definedName>
    <definedName name="solver_rel1" localSheetId="16" hidden="1">3</definedName>
    <definedName name="solver_rel1" localSheetId="15" hidden="1">3</definedName>
    <definedName name="solver_rel1" localSheetId="14" hidden="1">3</definedName>
    <definedName name="solver_rel1" localSheetId="13" hidden="1">3</definedName>
    <definedName name="solver_rel1" localSheetId="12" hidden="1">3</definedName>
    <definedName name="solver_rel1" localSheetId="11" hidden="1">3</definedName>
    <definedName name="solver_rel1" localSheetId="10" hidden="1">3</definedName>
    <definedName name="solver_rel1" localSheetId="9" hidden="1">3</definedName>
    <definedName name="solver_rel1" localSheetId="8" hidden="1">3</definedName>
    <definedName name="solver_rel1" localSheetId="7" hidden="1">3</definedName>
    <definedName name="solver_rel1" localSheetId="6" hidden="1">3</definedName>
    <definedName name="solver_rel1" localSheetId="5" hidden="1">3</definedName>
    <definedName name="solver_rel1" localSheetId="4" hidden="1">3</definedName>
    <definedName name="solver_rel1" localSheetId="3" hidden="1">3</definedName>
    <definedName name="solver_rel1" localSheetId="2" hidden="1">3</definedName>
    <definedName name="solver_rel1" localSheetId="1" hidden="1">3</definedName>
    <definedName name="solver_rel1" localSheetId="0" hidden="1">3</definedName>
    <definedName name="solver_rhs1" localSheetId="18" hidden="1">0</definedName>
    <definedName name="solver_rhs1" localSheetId="17" hidden="1">0</definedName>
    <definedName name="solver_rhs1" localSheetId="16" hidden="1">0</definedName>
    <definedName name="solver_rhs1" localSheetId="15" hidden="1">0</definedName>
    <definedName name="solver_rhs1" localSheetId="14" hidden="1">0</definedName>
    <definedName name="solver_rhs1" localSheetId="13" hidden="1">0</definedName>
    <definedName name="solver_rhs1" localSheetId="12" hidden="1">0</definedName>
    <definedName name="solver_rhs1" localSheetId="11" hidden="1">0</definedName>
    <definedName name="solver_rhs1" localSheetId="10" hidden="1">0</definedName>
    <definedName name="solver_rhs1" localSheetId="9" hidden="1">0</definedName>
    <definedName name="solver_rhs1" localSheetId="8" hidden="1">0</definedName>
    <definedName name="solver_rhs1" localSheetId="7" hidden="1">0</definedName>
    <definedName name="solver_rhs1" localSheetId="6" hidden="1">0</definedName>
    <definedName name="solver_rhs1" localSheetId="5" hidden="1">0</definedName>
    <definedName name="solver_rhs1" localSheetId="4" hidden="1">0</definedName>
    <definedName name="solver_rhs1" localSheetId="3" hidden="1">0</definedName>
    <definedName name="solver_rhs1" localSheetId="2" hidden="1">0</definedName>
    <definedName name="solver_rhs1" localSheetId="1" hidden="1">0</definedName>
    <definedName name="solver_rhs1" localSheetId="0" hidden="1">0</definedName>
    <definedName name="solver_rlx" localSheetId="18" hidden="1">2</definedName>
    <definedName name="solver_rlx" localSheetId="17" hidden="1">2</definedName>
    <definedName name="solver_rlx" localSheetId="16" hidden="1">2</definedName>
    <definedName name="solver_rlx" localSheetId="15" hidden="1">2</definedName>
    <definedName name="solver_rlx" localSheetId="14" hidden="1">2</definedName>
    <definedName name="solver_rlx" localSheetId="13" hidden="1">2</definedName>
    <definedName name="solver_rlx" localSheetId="12" hidden="1">2</definedName>
    <definedName name="solver_rlx" localSheetId="11" hidden="1">2</definedName>
    <definedName name="solver_rlx" localSheetId="10" hidden="1">2</definedName>
    <definedName name="solver_rlx" localSheetId="9" hidden="1">2</definedName>
    <definedName name="solver_rlx" localSheetId="8" hidden="1">2</definedName>
    <definedName name="solver_rlx" localSheetId="7" hidden="1">2</definedName>
    <definedName name="solver_rlx" localSheetId="6" hidden="1">2</definedName>
    <definedName name="solver_rlx" localSheetId="5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18" hidden="1">0</definedName>
    <definedName name="solver_rsd" localSheetId="17" hidden="1">0</definedName>
    <definedName name="solver_rsd" localSheetId="16" hidden="1">0</definedName>
    <definedName name="solver_rsd" localSheetId="15" hidden="1">0</definedName>
    <definedName name="solver_rsd" localSheetId="14" hidden="1">0</definedName>
    <definedName name="solver_rsd" localSheetId="13" hidden="1">0</definedName>
    <definedName name="solver_rsd" localSheetId="12" hidden="1">0</definedName>
    <definedName name="solver_rsd" localSheetId="11" hidden="1">0</definedName>
    <definedName name="solver_rsd" localSheetId="10" hidden="1">0</definedName>
    <definedName name="solver_rsd" localSheetId="9" hidden="1">0</definedName>
    <definedName name="solver_rsd" localSheetId="8" hidden="1">0</definedName>
    <definedName name="solver_rsd" localSheetId="7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rsd" localSheetId="0" hidden="1">0</definedName>
    <definedName name="solver_scl" localSheetId="18" hidden="1">2</definedName>
    <definedName name="solver_scl" localSheetId="17" hidden="1">2</definedName>
    <definedName name="solver_scl" localSheetId="16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10" hidden="1">2</definedName>
    <definedName name="solver_scl" localSheetId="9" hidden="1">2</definedName>
    <definedName name="solver_scl" localSheetId="8" hidden="1">2</definedName>
    <definedName name="solver_scl" localSheetId="7" hidden="1">2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3" hidden="1">2</definedName>
    <definedName name="solver_scl" localSheetId="2" hidden="1">2</definedName>
    <definedName name="solver_scl" localSheetId="1" hidden="1">2</definedName>
    <definedName name="solver_scl" localSheetId="0" hidden="1">2</definedName>
    <definedName name="solver_sho" localSheetId="18" hidden="1">2</definedName>
    <definedName name="solver_sho" localSheetId="17" hidden="1">2</definedName>
    <definedName name="solver_sho" localSheetId="16" hidden="1">2</definedName>
    <definedName name="solver_sho" localSheetId="15" hidden="1">2</definedName>
    <definedName name="solver_sho" localSheetId="14" hidden="1">2</definedName>
    <definedName name="solver_sho" localSheetId="13" hidden="1">2</definedName>
    <definedName name="solver_sho" localSheetId="12" hidden="1">2</definedName>
    <definedName name="solver_sho" localSheetId="11" hidden="1">2</definedName>
    <definedName name="solver_sho" localSheetId="10" hidden="1">2</definedName>
    <definedName name="solver_sho" localSheetId="9" hidden="1">2</definedName>
    <definedName name="solver_sho" localSheetId="8" hidden="1">2</definedName>
    <definedName name="solver_sho" localSheetId="7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sz" localSheetId="18" hidden="1">100</definedName>
    <definedName name="solver_ssz" localSheetId="17" hidden="1">100</definedName>
    <definedName name="solver_ssz" localSheetId="16" hidden="1">100</definedName>
    <definedName name="solver_ssz" localSheetId="15" hidden="1">100</definedName>
    <definedName name="solver_ssz" localSheetId="14" hidden="1">100</definedName>
    <definedName name="solver_ssz" localSheetId="13" hidden="1">100</definedName>
    <definedName name="solver_ssz" localSheetId="12" hidden="1">100</definedName>
    <definedName name="solver_ssz" localSheetId="11" hidden="1">100</definedName>
    <definedName name="solver_ssz" localSheetId="10" hidden="1">100</definedName>
    <definedName name="solver_ssz" localSheetId="9" hidden="1">100</definedName>
    <definedName name="solver_ssz" localSheetId="8" hidden="1">100</definedName>
    <definedName name="solver_ssz" localSheetId="7" hidden="1">100</definedName>
    <definedName name="solver_ssz" localSheetId="6" hidden="1">100</definedName>
    <definedName name="solver_ssz" localSheetId="5" hidden="1">100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ssz" localSheetId="0" hidden="1">100</definedName>
    <definedName name="solver_tim" localSheetId="18" hidden="1">2147483647</definedName>
    <definedName name="solver_tim" localSheetId="17" hidden="1">2147483647</definedName>
    <definedName name="solver_tim" localSheetId="16" hidden="1">2147483647</definedName>
    <definedName name="solver_tim" localSheetId="15" hidden="1">2147483647</definedName>
    <definedName name="solver_tim" localSheetId="14" hidden="1">2147483647</definedName>
    <definedName name="solver_tim" localSheetId="13" hidden="1">2147483647</definedName>
    <definedName name="solver_tim" localSheetId="12" hidden="1">2147483647</definedName>
    <definedName name="solver_tim" localSheetId="11" hidden="1">2147483647</definedName>
    <definedName name="solver_tim" localSheetId="10" hidden="1">2147483647</definedName>
    <definedName name="solver_tim" localSheetId="9" hidden="1">2147483647</definedName>
    <definedName name="solver_tim" localSheetId="8" hidden="1">2147483647</definedName>
    <definedName name="solver_tim" localSheetId="7" hidden="1">2147483647</definedName>
    <definedName name="solver_tim" localSheetId="6" hidden="1">2147483647</definedName>
    <definedName name="solver_tim" localSheetId="5" hidden="1">2147483647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im" localSheetId="0" hidden="1">2147483647</definedName>
    <definedName name="solver_tol" localSheetId="18" hidden="1">0.01</definedName>
    <definedName name="solver_tol" localSheetId="17" hidden="1">0.01</definedName>
    <definedName name="solver_tol" localSheetId="16" hidden="1">0.01</definedName>
    <definedName name="solver_tol" localSheetId="15" hidden="1">0.01</definedName>
    <definedName name="solver_tol" localSheetId="14" hidden="1">0.01</definedName>
    <definedName name="solver_tol" localSheetId="13" hidden="1">0.01</definedName>
    <definedName name="solver_tol" localSheetId="12" hidden="1">0.01</definedName>
    <definedName name="solver_tol" localSheetId="11" hidden="1">0.01</definedName>
    <definedName name="solver_tol" localSheetId="10" hidden="1">0.01</definedName>
    <definedName name="solver_tol" localSheetId="9" hidden="1">0.01</definedName>
    <definedName name="solver_tol" localSheetId="8" hidden="1">0.01</definedName>
    <definedName name="solver_tol" localSheetId="7" hidden="1">0.01</definedName>
    <definedName name="solver_tol" localSheetId="6" hidden="1">0.01</definedName>
    <definedName name="solver_tol" localSheetId="5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18" hidden="1">2</definedName>
    <definedName name="solver_typ" localSheetId="17" hidden="1">2</definedName>
    <definedName name="solver_typ" localSheetId="16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10" hidden="1">2</definedName>
    <definedName name="solver_typ" localSheetId="9" hidden="1">2</definedName>
    <definedName name="solver_typ" localSheetId="8" hidden="1">2</definedName>
    <definedName name="solver_typ" localSheetId="7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typ" localSheetId="0" hidden="1">2</definedName>
    <definedName name="solver_val" localSheetId="18" hidden="1">0</definedName>
    <definedName name="solver_val" localSheetId="17" hidden="1">0</definedName>
    <definedName name="solver_val" localSheetId="16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10" hidden="1">0</definedName>
    <definedName name="solver_val" localSheetId="9" hidden="1">0</definedName>
    <definedName name="solver_val" localSheetId="8" hidden="1">0</definedName>
    <definedName name="solver_val" localSheetId="7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18" hidden="1">3</definedName>
    <definedName name="solver_ver" localSheetId="17" hidden="1">3</definedName>
    <definedName name="solver_ver" localSheetId="16" hidden="1">3</definedName>
    <definedName name="solver_ver" localSheetId="15" hidden="1">3</definedName>
    <definedName name="solver_ver" localSheetId="14" hidden="1">3</definedName>
    <definedName name="solver_ver" localSheetId="13" hidden="1">3</definedName>
    <definedName name="solver_ver" localSheetId="12" hidden="1">3</definedName>
    <definedName name="solver_ver" localSheetId="11" hidden="1">3</definedName>
    <definedName name="solver_ver" localSheetId="10" hidden="1">3</definedName>
    <definedName name="solver_ver" localSheetId="9" hidden="1">3</definedName>
    <definedName name="solver_ver" localSheetId="8" hidden="1">3</definedName>
    <definedName name="solver_ver" localSheetId="7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solver_ver" localSheetId="0" hidden="1">3</definedName>
    <definedName name="W" localSheetId="18">'20'!$B$3</definedName>
    <definedName name="W" localSheetId="17">'25'!$B$3</definedName>
    <definedName name="W" localSheetId="16">'30'!$B$3</definedName>
    <definedName name="W" localSheetId="15">'31'!$B$3</definedName>
    <definedName name="W" localSheetId="14">'32'!$B$3</definedName>
    <definedName name="W" localSheetId="13">'33'!$B$3</definedName>
    <definedName name="W" localSheetId="12">'34'!$B$3</definedName>
    <definedName name="W" localSheetId="11">'35'!$B$3</definedName>
    <definedName name="W" localSheetId="10">'36'!$B$3</definedName>
    <definedName name="W" localSheetId="9">'37'!$B$3</definedName>
    <definedName name="W" localSheetId="8">'38'!$B$3</definedName>
    <definedName name="W" localSheetId="7">'39'!$B$3</definedName>
    <definedName name="W" localSheetId="6">'40'!$B$3</definedName>
    <definedName name="W" localSheetId="5">'41'!$B$3</definedName>
    <definedName name="W" localSheetId="4">'42'!$B$3</definedName>
    <definedName name="W" localSheetId="3">'43'!$B$3</definedName>
    <definedName name="W" localSheetId="2">'44'!$B$3</definedName>
    <definedName name="W" localSheetId="0">'49.5'!$B$3</definedName>
    <definedName name="W">'45'!$B$3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" i="19" l="1"/>
  <c r="A12" i="19"/>
  <c r="A11" i="19"/>
  <c r="A10" i="19"/>
  <c r="A9" i="19"/>
  <c r="B6" i="19" l="1"/>
  <c r="B4" i="19"/>
  <c r="B5" i="19" s="1"/>
  <c r="D5" i="19" s="1"/>
  <c r="B6" i="18" l="1"/>
  <c r="B4" i="18"/>
  <c r="B5" i="18" s="1"/>
  <c r="D5" i="18" s="1"/>
  <c r="B6" i="17"/>
  <c r="B4" i="17"/>
  <c r="B5" i="17" s="1"/>
  <c r="D5" i="17" s="1"/>
  <c r="B6" i="16"/>
  <c r="B4" i="16"/>
  <c r="B5" i="16" s="1"/>
  <c r="D5" i="16" s="1"/>
  <c r="B6" i="15"/>
  <c r="B4" i="15"/>
  <c r="B5" i="15" s="1"/>
  <c r="D5" i="15" s="1"/>
  <c r="B6" i="14"/>
  <c r="B4" i="14"/>
  <c r="B5" i="14" s="1"/>
  <c r="D5" i="14" s="1"/>
  <c r="B6" i="13"/>
  <c r="B4" i="13"/>
  <c r="B5" i="13" s="1"/>
  <c r="D5" i="13" s="1"/>
  <c r="B6" i="12"/>
  <c r="B4" i="12"/>
  <c r="B5" i="12" s="1"/>
  <c r="D5" i="12" s="1"/>
  <c r="B6" i="11"/>
  <c r="B4" i="11"/>
  <c r="B5" i="11" s="1"/>
  <c r="D5" i="11" s="1"/>
  <c r="B6" i="10"/>
  <c r="B4" i="10"/>
  <c r="B5" i="10" s="1"/>
  <c r="D5" i="10" s="1"/>
  <c r="B6" i="9"/>
  <c r="B4" i="9"/>
  <c r="B5" i="9" s="1"/>
  <c r="D5" i="9" s="1"/>
  <c r="B6" i="8"/>
  <c r="B4" i="8"/>
  <c r="B5" i="8" s="1"/>
  <c r="D5" i="8" s="1"/>
  <c r="B6" i="7"/>
  <c r="B4" i="7"/>
  <c r="B5" i="7" s="1"/>
  <c r="D5" i="7" s="1"/>
  <c r="B6" i="1"/>
  <c r="B6" i="6"/>
  <c r="B6" i="5"/>
  <c r="B6" i="4"/>
  <c r="B6" i="3"/>
  <c r="B6" i="2"/>
  <c r="B4" i="6" l="1"/>
  <c r="B5" i="6" s="1"/>
  <c r="D5" i="6" s="1"/>
  <c r="B4" i="5"/>
  <c r="B5" i="5" s="1"/>
  <c r="D5" i="5" s="1"/>
  <c r="B4" i="4"/>
  <c r="B5" i="4" s="1"/>
  <c r="D5" i="4" s="1"/>
  <c r="B4" i="3" l="1"/>
  <c r="B5" i="3" s="1"/>
  <c r="D5" i="3" s="1"/>
  <c r="B4" i="2"/>
  <c r="B5" i="2" s="1"/>
  <c r="D5" i="2" s="1"/>
  <c r="B4" i="1" l="1"/>
  <c r="B5" i="1" l="1"/>
  <c r="D5" i="1" s="1"/>
</calcChain>
</file>

<file path=xl/sharedStrings.xml><?xml version="1.0" encoding="utf-8"?>
<sst xmlns="http://schemas.openxmlformats.org/spreadsheetml/2006/main" count="126" uniqueCount="7">
  <si>
    <t>H</t>
    <phoneticPr fontId="1" type="noConversion"/>
  </si>
  <si>
    <t>L</t>
    <phoneticPr fontId="1" type="noConversion"/>
  </si>
  <si>
    <t>W</t>
    <phoneticPr fontId="1" type="noConversion"/>
  </si>
  <si>
    <t>C</t>
    <phoneticPr fontId="1" type="noConversion"/>
  </si>
  <si>
    <t>Q</t>
    <phoneticPr fontId="1" type="noConversion"/>
  </si>
  <si>
    <t>Hp</t>
  </si>
  <si>
    <t>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</si>
</sst>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Taipei Sans TC Beta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176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57E3-EB4D-4126-93DF-E6166E7D7B1D}">
  <sheetPr codeName="Sheet1"/>
  <dimension ref="A1:D13"/>
  <sheetViews>
    <sheetView tabSelected="1" zoomScale="130" zoomScaleNormal="130" workbookViewId="0">
      <selection activeCell="I10" sqref="I10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1.3457373602601719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2.19620429705114</v>
      </c>
    </row>
    <row r="5" spans="1:4" x14ac:dyDescent="0.25">
      <c r="A5" s="1" t="s">
        <v>4</v>
      </c>
      <c r="B5" s="2">
        <f>C_*L*H^(3/2)</f>
        <v>47.999999932113845</v>
      </c>
      <c r="C5" s="1">
        <v>48</v>
      </c>
      <c r="D5" s="1">
        <f>ABS(Q-C5)</f>
        <v>6.7886155363794387E-8</v>
      </c>
    </row>
    <row r="6" spans="1:4" x14ac:dyDescent="0.25">
      <c r="A6" s="1" t="s">
        <v>5</v>
      </c>
      <c r="B6" s="1">
        <f>132.2+H</f>
        <v>133.54573736026015</v>
      </c>
    </row>
    <row r="7" spans="1:4" x14ac:dyDescent="0.25">
      <c r="A7" s="1" t="s">
        <v>6</v>
      </c>
    </row>
    <row r="9" spans="1:4" x14ac:dyDescent="0.25">
      <c r="A9" s="1">
        <f>MIN($D$5)</f>
        <v>6.7886155363794387E-8</v>
      </c>
    </row>
    <row r="10" spans="1:4" x14ac:dyDescent="0.25">
      <c r="A10" s="1">
        <f>COUNT($B$1)</f>
        <v>1</v>
      </c>
    </row>
    <row r="11" spans="1:4" x14ac:dyDescent="0.25">
      <c r="A11" s="1" t="b">
        <f>H&gt;=0</f>
        <v>1</v>
      </c>
    </row>
    <row r="12" spans="1:4" x14ac:dyDescent="0.25">
      <c r="A12" s="1">
        <f>{32767,32767,0.001,0.01,FALSE,FALSE,FALSE,1,2,1,0.0001,TRUE}</f>
        <v>32767</v>
      </c>
    </row>
    <row r="13" spans="1:4" x14ac:dyDescent="0.25">
      <c r="A13" s="1">
        <f>{0,0,1,100,0,FALSE,FALSE,0.075,0,0,FALSE,30}</f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zoomScale="130" zoomScaleNormal="130" workbookViewId="0">
      <selection activeCell="G10" sqref="G10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1.2890020328549159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2.1963627548187836</v>
      </c>
    </row>
    <row r="5" spans="1:4" x14ac:dyDescent="0.25">
      <c r="A5" s="1" t="s">
        <v>4</v>
      </c>
      <c r="B5" s="2">
        <f>C_*L*H^(3/2)</f>
        <v>44.99999956349059</v>
      </c>
      <c r="C5" s="1">
        <v>45</v>
      </c>
      <c r="D5" s="1">
        <f>ABS(Q-C5)</f>
        <v>4.3650940995121346E-7</v>
      </c>
    </row>
    <row r="6" spans="1:4" x14ac:dyDescent="0.25">
      <c r="A6" s="1" t="s">
        <v>5</v>
      </c>
      <c r="B6" s="1">
        <f>132.2+H</f>
        <v>133.4890020328549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1.2698136179598722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2.196416362343796</v>
      </c>
    </row>
    <row r="5" spans="1:4" x14ac:dyDescent="0.25">
      <c r="A5" s="1" t="s">
        <v>4</v>
      </c>
      <c r="B5" s="1">
        <f>C_*L*H^(3/2)</f>
        <v>43.99999999973997</v>
      </c>
      <c r="C5" s="1">
        <v>44</v>
      </c>
      <c r="D5" s="1">
        <f>ABS(Q-C5)</f>
        <v>2.6003021957876626E-10</v>
      </c>
    </row>
    <row r="6" spans="1:4" x14ac:dyDescent="0.25">
      <c r="A6" s="1" t="s">
        <v>5</v>
      </c>
      <c r="B6" s="2">
        <f>H+132.2</f>
        <v>133.46981361795986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1.2504798908658694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2.1964703840281841</v>
      </c>
    </row>
    <row r="5" spans="1:4" x14ac:dyDescent="0.25">
      <c r="A5" s="1" t="s">
        <v>4</v>
      </c>
      <c r="B5" s="1">
        <f>C_*L*H^(3/2)</f>
        <v>43.000000021732774</v>
      </c>
      <c r="C5" s="1">
        <v>43</v>
      </c>
      <c r="D5" s="1">
        <f>ABS(Q-C5)</f>
        <v>2.1732773802796146E-8</v>
      </c>
    </row>
    <row r="6" spans="1:4" x14ac:dyDescent="0.25">
      <c r="A6" s="1" t="s">
        <v>5</v>
      </c>
      <c r="B6" s="2">
        <f>132.2+H</f>
        <v>133.45047989086586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4BFC4-635C-4EF4-B5F1-FEFA80CC0CF2}">
  <sheetPr codeName="Sheet5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1.2309963299631188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2.1965248328244251</v>
      </c>
    </row>
    <row r="5" spans="1:4" x14ac:dyDescent="0.25">
      <c r="A5" s="1" t="s">
        <v>4</v>
      </c>
      <c r="B5" s="1">
        <f>C_*L*H^(3/2)</f>
        <v>42.000000004756238</v>
      </c>
      <c r="C5" s="1">
        <v>42</v>
      </c>
      <c r="D5" s="1">
        <f>ABS(Q-C5)</f>
        <v>4.7562380700583162E-9</v>
      </c>
    </row>
    <row r="6" spans="1:4" x14ac:dyDescent="0.25">
      <c r="A6" s="1" t="s">
        <v>5</v>
      </c>
      <c r="B6" s="1">
        <f>132.2+H</f>
        <v>133.43099632996311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B6314-580F-458E-8CCE-C5B92148E8D4}">
  <sheetPr codeName="Sheet6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1.2113581549721717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2.1965797224276398</v>
      </c>
    </row>
    <row r="5" spans="1:4" x14ac:dyDescent="0.25">
      <c r="A5" s="1" t="s">
        <v>4</v>
      </c>
      <c r="B5" s="1">
        <f>C_*L*H^(3/2)</f>
        <v>41.000000012149442</v>
      </c>
      <c r="C5" s="1">
        <v>41</v>
      </c>
      <c r="D5" s="1">
        <f>ABS(Q-C5)</f>
        <v>1.2149442341069516E-8</v>
      </c>
    </row>
    <row r="6" spans="1:4" x14ac:dyDescent="0.25">
      <c r="A6" s="1" t="s">
        <v>5</v>
      </c>
      <c r="B6" s="1">
        <f>132.2+H</f>
        <v>133.41135815497216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31A50-AA59-4068-B96D-529BF5B53AA5}">
  <sheetPr codeName="Sheet7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1.1915603106257604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2.1966350673229411</v>
      </c>
    </row>
    <row r="5" spans="1:4" x14ac:dyDescent="0.25">
      <c r="A5" s="1" t="s">
        <v>4</v>
      </c>
      <c r="B5" s="1">
        <f>C_*L*H^(3/2)</f>
        <v>40.00000002463721</v>
      </c>
      <c r="C5" s="1">
        <v>40</v>
      </c>
      <c r="D5" s="1">
        <f>ABS(Q-C5)</f>
        <v>2.4637209605771204E-8</v>
      </c>
    </row>
    <row r="6" spans="1:4" x14ac:dyDescent="0.25">
      <c r="A6" s="1" t="s">
        <v>5</v>
      </c>
      <c r="B6" s="1">
        <f>132.2+H</f>
        <v>133.39156031062575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07D2-138F-428A-A839-437D33D0CD7A}">
  <sheetPr codeName="Sheet8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1.1715974449059516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2.1966908828481908</v>
      </c>
    </row>
    <row r="5" spans="1:4" x14ac:dyDescent="0.25">
      <c r="A5" s="1" t="s">
        <v>4</v>
      </c>
      <c r="B5" s="1">
        <f>C_*L*H^(3/2)</f>
        <v>38.9999999998074</v>
      </c>
      <c r="C5" s="1">
        <v>39</v>
      </c>
      <c r="D5" s="1">
        <f>ABS(Q-C5)</f>
        <v>1.9259971395513276E-10</v>
      </c>
    </row>
    <row r="6" spans="1:4" x14ac:dyDescent="0.25">
      <c r="A6" s="1" t="s">
        <v>5</v>
      </c>
      <c r="B6" s="1">
        <f>132.2+H</f>
        <v>133.37159744490594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EB0-237F-4F13-B332-24EBFD954908}">
  <sheetPr codeName="Sheet9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1.151463886234755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2.1967471852599054</v>
      </c>
    </row>
    <row r="5" spans="1:4" x14ac:dyDescent="0.25">
      <c r="A5" s="1" t="s">
        <v>4</v>
      </c>
      <c r="B5" s="1">
        <f>C_*L*H^(3/2)</f>
        <v>38.000000003490136</v>
      </c>
      <c r="C5" s="1">
        <v>38</v>
      </c>
      <c r="D5" s="1">
        <f>ABS(Q-C5)</f>
        <v>3.4901361800621089E-9</v>
      </c>
    </row>
    <row r="6" spans="1:4" x14ac:dyDescent="0.25">
      <c r="A6" s="1" t="s">
        <v>5</v>
      </c>
      <c r="B6" s="1">
        <f>132.2+H</f>
        <v>133.35146388623474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D500-B0B7-4387-9E97-3D2AF2DBA07E}">
  <sheetPr codeName="Sheet10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1.1311536115274838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2.1968039918249658</v>
      </c>
    </row>
    <row r="5" spans="1:4" x14ac:dyDescent="0.25">
      <c r="A5" s="1" t="s">
        <v>4</v>
      </c>
      <c r="B5" s="1">
        <f>C_*L*H^(3/2)</f>
        <v>37.000000029351718</v>
      </c>
      <c r="C5" s="1">
        <v>37</v>
      </c>
      <c r="D5" s="1">
        <f>ABS(Q-C5)</f>
        <v>2.935171750095833E-8</v>
      </c>
    </row>
    <row r="6" spans="1:4" x14ac:dyDescent="0.25">
      <c r="A6" s="1" t="s">
        <v>5</v>
      </c>
      <c r="B6" s="1">
        <f>132.2+H</f>
        <v>133.33115361152747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15609-B055-4406-8DB9-20F587D0875B}">
  <sheetPr codeName="Sheet11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1.1106602145618223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2.1968613209117436</v>
      </c>
    </row>
    <row r="5" spans="1:4" x14ac:dyDescent="0.25">
      <c r="A5" s="1" t="s">
        <v>4</v>
      </c>
      <c r="B5" s="1">
        <f>C_*L*H^(3/2)</f>
        <v>36.000000005291859</v>
      </c>
      <c r="C5" s="1">
        <v>36</v>
      </c>
      <c r="D5" s="1">
        <f>ABS(Q-C5)</f>
        <v>5.2918593951289949E-9</v>
      </c>
    </row>
    <row r="6" spans="1:4" x14ac:dyDescent="0.25">
      <c r="A6" s="1" t="s">
        <v>5</v>
      </c>
      <c r="B6" s="1">
        <f>132.2+H</f>
        <v>133.31066021456181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9C9F-7AD6-4D1C-B163-A90203546DD2}">
  <sheetPr codeName="Sheet12"/>
  <dimension ref="A1:D7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1.0899768749584589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2.1969191920798554</v>
      </c>
    </row>
    <row r="5" spans="1:4" x14ac:dyDescent="0.25">
      <c r="A5" s="1" t="s">
        <v>4</v>
      </c>
      <c r="B5" s="1">
        <f>C_*L*H^(3/2)</f>
        <v>35.000000013841536</v>
      </c>
      <c r="C5" s="1">
        <v>35</v>
      </c>
      <c r="D5" s="1">
        <f>ABS(Q-C5)</f>
        <v>1.3841535917435976E-8</v>
      </c>
    </row>
    <row r="6" spans="1:4" x14ac:dyDescent="0.25">
      <c r="A6" s="1" t="s">
        <v>5</v>
      </c>
      <c r="B6" s="1">
        <f>132.2+H</f>
        <v>133.28997687495846</v>
      </c>
    </row>
    <row r="7" spans="1:4" x14ac:dyDescent="0.25">
      <c r="A7" s="1" t="s">
        <v>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1EACB-E83F-496E-B3FA-8D3D8A5E4258}">
  <sheetPr codeName="Sheet13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1.0690963109068006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2.1969776262157765</v>
      </c>
    </row>
    <row r="5" spans="1:4" x14ac:dyDescent="0.25">
      <c r="A5" s="1" t="s">
        <v>4</v>
      </c>
      <c r="B5" s="1">
        <f>C_*L*H^(3/2)</f>
        <v>33.999999936360425</v>
      </c>
      <c r="C5" s="1">
        <v>34</v>
      </c>
      <c r="D5" s="1">
        <f>ABS(Q-C5)</f>
        <v>6.3639575387242076E-8</v>
      </c>
    </row>
    <row r="6" spans="1:4" x14ac:dyDescent="0.25">
      <c r="A6" s="1" t="s">
        <v>5</v>
      </c>
      <c r="B6" s="1">
        <f>132.2+H</f>
        <v>133.26909631090678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2B61A-C483-4BF8-B31C-AC353F90E704}">
  <sheetPr codeName="Sheet14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1.0480107454834813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2.1970366456308779</v>
      </c>
    </row>
    <row r="5" spans="1:4" x14ac:dyDescent="0.25">
      <c r="A5" s="1" t="s">
        <v>4</v>
      </c>
      <c r="B5" s="1">
        <f>C_*L*H^(3/2)</f>
        <v>33.000000000582986</v>
      </c>
      <c r="C5" s="1">
        <v>33</v>
      </c>
      <c r="D5" s="1">
        <f>ABS(Q-C5)</f>
        <v>5.82986103836447E-10</v>
      </c>
    </row>
    <row r="6" spans="1:4" x14ac:dyDescent="0.25">
      <c r="A6" s="1" t="s">
        <v>5</v>
      </c>
      <c r="B6" s="1">
        <f>132.2+H</f>
        <v>133.24801074548347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EB353-E068-4E28-9DC3-1CBB818F58AF}">
  <sheetPr codeName="Sheet15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1.026711837724555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2.1970962742586257</v>
      </c>
    </row>
    <row r="5" spans="1:4" x14ac:dyDescent="0.25">
      <c r="A5" s="1" t="s">
        <v>4</v>
      </c>
      <c r="B5" s="1">
        <f>C_*L*H^(3/2)</f>
        <v>31.999999927676743</v>
      </c>
      <c r="C5" s="1">
        <v>32</v>
      </c>
      <c r="D5" s="1">
        <f>ABS(Q-C5)</f>
        <v>7.2323256716799733E-8</v>
      </c>
    </row>
    <row r="6" spans="1:4" x14ac:dyDescent="0.25">
      <c r="A6" s="1" t="s">
        <v>5</v>
      </c>
      <c r="B6" s="1">
        <f>132.2+H</f>
        <v>133.22671183772454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43CF-FC97-442C-8513-EB1341B37E9A}">
  <sheetPr codeName="Sheet16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1.0051906470534071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2.1971565377590379</v>
      </c>
    </row>
    <row r="5" spans="1:4" x14ac:dyDescent="0.25">
      <c r="A5" s="1" t="s">
        <v>4</v>
      </c>
      <c r="B5" s="1">
        <f>C_*L*H^(3/2)</f>
        <v>30.999999993891709</v>
      </c>
      <c r="C5" s="1">
        <v>31</v>
      </c>
      <c r="D5" s="1">
        <f>ABS(Q-C5)</f>
        <v>6.1082907620857441E-9</v>
      </c>
    </row>
    <row r="6" spans="1:4" x14ac:dyDescent="0.25">
      <c r="A6" s="1" t="s">
        <v>5</v>
      </c>
      <c r="B6" s="1">
        <f>132.2+H</f>
        <v>133.2051906470534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8A64-F228-4DD9-8A9A-A693D862FA1A}">
  <sheetPr codeName="Sheet17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0.98343754561103403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2.1972174637697024</v>
      </c>
    </row>
    <row r="5" spans="1:4" x14ac:dyDescent="0.25">
      <c r="A5" s="1" t="s">
        <v>4</v>
      </c>
      <c r="B5" s="1">
        <f>C_*L*H^(3/2)</f>
        <v>30.000000017535903</v>
      </c>
      <c r="C5" s="1">
        <v>30</v>
      </c>
      <c r="D5" s="1">
        <f>ABS(Q-C5)</f>
        <v>1.7535903396037611E-8</v>
      </c>
    </row>
    <row r="6" spans="1:4" x14ac:dyDescent="0.25">
      <c r="A6" s="1" t="s">
        <v>5</v>
      </c>
      <c r="B6" s="1">
        <f>132.2+H</f>
        <v>133.18343754561101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9C368-2613-4402-9141-79CB9EC3979E}">
  <sheetPr codeName="Sheet18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0.87079853481191749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2.1975331654430179</v>
      </c>
    </row>
    <row r="5" spans="1:4" x14ac:dyDescent="0.25">
      <c r="A5" s="1" t="s">
        <v>4</v>
      </c>
      <c r="B5" s="1">
        <f>C_*L*H^(3/2)</f>
        <v>24.999999981546061</v>
      </c>
      <c r="C5" s="1">
        <v>25</v>
      </c>
      <c r="D5" s="1">
        <f>ABS(Q-C5)</f>
        <v>1.8453938821494376E-8</v>
      </c>
    </row>
    <row r="6" spans="1:4" x14ac:dyDescent="0.25">
      <c r="A6" s="1" t="s">
        <v>5</v>
      </c>
      <c r="B6" s="1">
        <f>132.2+H</f>
        <v>133.0707985348119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04E1-5674-4E95-8389-877FC4E12298}">
  <sheetPr codeName="Sheet19"/>
  <dimension ref="A1:D6"/>
  <sheetViews>
    <sheetView zoomScale="130" zoomScaleNormal="130" workbookViewId="0">
      <selection activeCell="B6" sqref="B6"/>
    </sheetView>
  </sheetViews>
  <sheetFormatPr defaultRowHeight="15" x14ac:dyDescent="0.25"/>
  <cols>
    <col min="1" max="1" width="9.140625" style="1"/>
    <col min="2" max="3" width="9.28515625" style="1" bestFit="1" customWidth="1"/>
    <col min="4" max="4" width="15.28515625" style="1" bestFit="1" customWidth="1"/>
    <col min="5" max="16384" width="9.140625" style="1"/>
  </cols>
  <sheetData>
    <row r="1" spans="1:4" x14ac:dyDescent="0.25">
      <c r="A1" s="1" t="s">
        <v>0</v>
      </c>
      <c r="B1" s="2">
        <v>0.75035448280292971</v>
      </c>
    </row>
    <row r="2" spans="1:4" x14ac:dyDescent="0.25">
      <c r="A2" s="1" t="s">
        <v>1</v>
      </c>
      <c r="B2" s="1">
        <v>14</v>
      </c>
    </row>
    <row r="3" spans="1:4" x14ac:dyDescent="0.25">
      <c r="A3" s="1" t="s">
        <v>2</v>
      </c>
      <c r="B3" s="1">
        <v>15.11</v>
      </c>
    </row>
    <row r="4" spans="1:4" x14ac:dyDescent="0.25">
      <c r="A4" s="1" t="s">
        <v>3</v>
      </c>
      <c r="B4" s="1">
        <f>2.2-0.0416*(H/W)^0.99</f>
        <v>2.1978711977156</v>
      </c>
    </row>
    <row r="5" spans="1:4" x14ac:dyDescent="0.25">
      <c r="A5" s="1" t="s">
        <v>4</v>
      </c>
      <c r="B5" s="1">
        <f>C_*L*H^(3/2)</f>
        <v>19.999999999942517</v>
      </c>
      <c r="C5" s="1">
        <v>20</v>
      </c>
      <c r="D5" s="1">
        <f>ABS(Q-C5)</f>
        <v>5.7482907322992105E-11</v>
      </c>
    </row>
    <row r="6" spans="1:4" x14ac:dyDescent="0.25">
      <c r="A6" s="1" t="s">
        <v>5</v>
      </c>
      <c r="B6" s="1">
        <f>132.2+H</f>
        <v>132.95035448280291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95</vt:i4>
      </vt:variant>
    </vt:vector>
  </HeadingPairs>
  <TitlesOfParts>
    <vt:vector size="114" baseType="lpstr">
      <vt:lpstr>49.5</vt:lpstr>
      <vt:lpstr>45</vt:lpstr>
      <vt:lpstr>44</vt:lpstr>
      <vt:lpstr>43</vt:lpstr>
      <vt:lpstr>42</vt:lpstr>
      <vt:lpstr>41</vt:lpstr>
      <vt:lpstr>40</vt:lpstr>
      <vt:lpstr>39</vt:lpstr>
      <vt:lpstr>38</vt:lpstr>
      <vt:lpstr>37</vt:lpstr>
      <vt:lpstr>36</vt:lpstr>
      <vt:lpstr>35</vt:lpstr>
      <vt:lpstr>34</vt:lpstr>
      <vt:lpstr>33</vt:lpstr>
      <vt:lpstr>32</vt:lpstr>
      <vt:lpstr>31</vt:lpstr>
      <vt:lpstr>30</vt:lpstr>
      <vt:lpstr>25</vt:lpstr>
      <vt:lpstr>20</vt:lpstr>
      <vt:lpstr>'20'!C_</vt:lpstr>
      <vt:lpstr>'25'!C_</vt:lpstr>
      <vt:lpstr>'30'!C_</vt:lpstr>
      <vt:lpstr>'31'!C_</vt:lpstr>
      <vt:lpstr>'32'!C_</vt:lpstr>
      <vt:lpstr>'33'!C_</vt:lpstr>
      <vt:lpstr>'34'!C_</vt:lpstr>
      <vt:lpstr>'35'!C_</vt:lpstr>
      <vt:lpstr>'36'!C_</vt:lpstr>
      <vt:lpstr>'37'!C_</vt:lpstr>
      <vt:lpstr>'38'!C_</vt:lpstr>
      <vt:lpstr>'39'!C_</vt:lpstr>
      <vt:lpstr>'40'!C_</vt:lpstr>
      <vt:lpstr>'41'!C_</vt:lpstr>
      <vt:lpstr>'42'!C_</vt:lpstr>
      <vt:lpstr>'43'!C_</vt:lpstr>
      <vt:lpstr>'44'!C_</vt:lpstr>
      <vt:lpstr>'49.5'!C_</vt:lpstr>
      <vt:lpstr>C_</vt:lpstr>
      <vt:lpstr>'20'!H</vt:lpstr>
      <vt:lpstr>'25'!H</vt:lpstr>
      <vt:lpstr>'30'!H</vt:lpstr>
      <vt:lpstr>'31'!H</vt:lpstr>
      <vt:lpstr>'32'!H</vt:lpstr>
      <vt:lpstr>'33'!H</vt:lpstr>
      <vt:lpstr>'34'!H</vt:lpstr>
      <vt:lpstr>'35'!H</vt:lpstr>
      <vt:lpstr>'36'!H</vt:lpstr>
      <vt:lpstr>'37'!H</vt:lpstr>
      <vt:lpstr>'38'!H</vt:lpstr>
      <vt:lpstr>'39'!H</vt:lpstr>
      <vt:lpstr>'40'!H</vt:lpstr>
      <vt:lpstr>'41'!H</vt:lpstr>
      <vt:lpstr>'42'!H</vt:lpstr>
      <vt:lpstr>'43'!H</vt:lpstr>
      <vt:lpstr>'44'!H</vt:lpstr>
      <vt:lpstr>'49.5'!H</vt:lpstr>
      <vt:lpstr>H</vt:lpstr>
      <vt:lpstr>'20'!L</vt:lpstr>
      <vt:lpstr>'25'!L</vt:lpstr>
      <vt:lpstr>'30'!L</vt:lpstr>
      <vt:lpstr>'31'!L</vt:lpstr>
      <vt:lpstr>'32'!L</vt:lpstr>
      <vt:lpstr>'33'!L</vt:lpstr>
      <vt:lpstr>'34'!L</vt:lpstr>
      <vt:lpstr>'35'!L</vt:lpstr>
      <vt:lpstr>'36'!L</vt:lpstr>
      <vt:lpstr>'37'!L</vt:lpstr>
      <vt:lpstr>'38'!L</vt:lpstr>
      <vt:lpstr>'39'!L</vt:lpstr>
      <vt:lpstr>'40'!L</vt:lpstr>
      <vt:lpstr>'41'!L</vt:lpstr>
      <vt:lpstr>'42'!L</vt:lpstr>
      <vt:lpstr>'43'!L</vt:lpstr>
      <vt:lpstr>'44'!L</vt:lpstr>
      <vt:lpstr>'49.5'!L</vt:lpstr>
      <vt:lpstr>L</vt:lpstr>
      <vt:lpstr>'20'!Q</vt:lpstr>
      <vt:lpstr>'25'!Q</vt:lpstr>
      <vt:lpstr>'30'!Q</vt:lpstr>
      <vt:lpstr>'31'!Q</vt:lpstr>
      <vt:lpstr>'32'!Q</vt:lpstr>
      <vt:lpstr>'33'!Q</vt:lpstr>
      <vt:lpstr>'34'!Q</vt:lpstr>
      <vt:lpstr>'35'!Q</vt:lpstr>
      <vt:lpstr>'36'!Q</vt:lpstr>
      <vt:lpstr>'37'!Q</vt:lpstr>
      <vt:lpstr>'38'!Q</vt:lpstr>
      <vt:lpstr>'39'!Q</vt:lpstr>
      <vt:lpstr>'40'!Q</vt:lpstr>
      <vt:lpstr>'41'!Q</vt:lpstr>
      <vt:lpstr>'42'!Q</vt:lpstr>
      <vt:lpstr>'43'!Q</vt:lpstr>
      <vt:lpstr>'44'!Q</vt:lpstr>
      <vt:lpstr>'49.5'!Q</vt:lpstr>
      <vt:lpstr>Q</vt:lpstr>
      <vt:lpstr>'20'!W</vt:lpstr>
      <vt:lpstr>'25'!W</vt:lpstr>
      <vt:lpstr>'30'!W</vt:lpstr>
      <vt:lpstr>'31'!W</vt:lpstr>
      <vt:lpstr>'32'!W</vt:lpstr>
      <vt:lpstr>'33'!W</vt:lpstr>
      <vt:lpstr>'34'!W</vt:lpstr>
      <vt:lpstr>'35'!W</vt:lpstr>
      <vt:lpstr>'36'!W</vt:lpstr>
      <vt:lpstr>'37'!W</vt:lpstr>
      <vt:lpstr>'38'!W</vt:lpstr>
      <vt:lpstr>'39'!W</vt:lpstr>
      <vt:lpstr>'40'!W</vt:lpstr>
      <vt:lpstr>'41'!W</vt:lpstr>
      <vt:lpstr>'42'!W</vt:lpstr>
      <vt:lpstr>'43'!W</vt:lpstr>
      <vt:lpstr>'44'!W</vt:lpstr>
      <vt:lpstr>'49.5'!W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Windows 使用者</cp:lastModifiedBy>
  <dcterms:created xsi:type="dcterms:W3CDTF">2015-06-05T18:17:20Z</dcterms:created>
  <dcterms:modified xsi:type="dcterms:W3CDTF">2019-07-12T06:05:41Z</dcterms:modified>
</cp:coreProperties>
</file>